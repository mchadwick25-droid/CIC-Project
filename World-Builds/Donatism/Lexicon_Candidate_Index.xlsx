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 Roster" sheetId="1" state="visible" r:id="rId1"/>
    <sheet name="By Tier" sheetId="2" state="visible" r:id="rId2"/>
    <sheet name="By Tag" sheetId="3" state="visible" r:id="rId3"/>
    <sheet name="CT Contest-Type Check" sheetId="4" state="visible" r:id="rId4"/>
  </sheets>
  <definedNames>
    <definedName name="_xlnm._FilterDatabase" localSheetId="0" hidden="1">'Candidate Roster'!$A$1:$M$22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70" customWidth="1" min="11" max="11"/>
    <col width="30" customWidth="1" min="12" max="12"/>
    <col width="26" customWidth="1" min="13" max="13"/>
  </cols>
  <sheetData>
    <row r="1">
      <c r="A1" s="1" t="inlineStr">
        <is>
          <t>Term</t>
        </is>
      </c>
      <c r="B1" s="1" t="inlineStr">
        <is>
          <t>Cluster</t>
        </is>
      </c>
      <c r="C1" s="1" t="inlineStr">
        <is>
          <t>Prelim Tier</t>
        </is>
      </c>
      <c r="D1" s="1" t="inlineStr">
        <is>
          <t>AS</t>
        </is>
      </c>
      <c r="E1" s="1" t="inlineStr">
        <is>
          <t>SC</t>
        </is>
      </c>
      <c r="F1" s="1" t="inlineStr">
        <is>
          <t>DR</t>
        </is>
      </c>
      <c r="G1" s="1" t="inlineStr">
        <is>
          <t>TC</t>
        </is>
      </c>
      <c r="H1" s="1" t="inlineStr">
        <is>
          <t>RT</t>
        </is>
      </c>
      <c r="I1" s="1" t="inlineStr">
        <is>
          <t>PV</t>
        </is>
      </c>
      <c r="J1" s="1" t="inlineStr">
        <is>
          <t>CT</t>
        </is>
      </c>
      <c r="K1" s="1" t="inlineStr">
        <is>
          <t>One-Line World-Meaning</t>
        </is>
      </c>
      <c r="L1" s="1" t="inlineStr">
        <is>
          <t>AG-Risk (Dominant Voice)</t>
        </is>
      </c>
      <c r="M1" s="1" t="inlineStr">
        <is>
          <t>Source-Registry Cross-Reference</t>
        </is>
      </c>
    </row>
    <row r="2">
      <c r="A2" s="2" t="inlineStr">
        <is>
          <t>Traditor / Traditio</t>
        </is>
      </c>
      <c r="B2" s="2" t="inlineStr">
        <is>
          <t>1 - Founding Rupture, Purity, Legitimacy</t>
        </is>
      </c>
      <c r="C2" s="2" t="n">
        <v>1</v>
      </c>
      <c r="D2" s="2" t="inlineStr">
        <is>
          <t>Y</t>
        </is>
      </c>
      <c r="E2" s="2" t="inlineStr">
        <is>
          <t>N</t>
        </is>
      </c>
      <c r="F2" s="2" t="inlineStr">
        <is>
          <t>Y</t>
        </is>
      </c>
      <c r="G2" s="2" t="inlineStr">
        <is>
          <t>Y</t>
        </is>
      </c>
      <c r="H2" s="2" t="inlineStr">
        <is>
          <t>Y</t>
        </is>
      </c>
      <c r="I2" s="2" t="inlineStr">
        <is>
          <t>N</t>
        </is>
      </c>
      <c r="J2" s="2" t="inlineStr">
        <is>
          <t>N</t>
        </is>
      </c>
      <c r="K2" s="2" t="inlineStr">
        <is>
          <t>One who surrendered scripture or sacred vessels under the Diocletianic persecution rather than suffering for their preservation; the accusation on which a whole line of ordinations, and therefore of valid sacraments, stands or falls.</t>
        </is>
      </c>
      <c r="L2" s="2" t="inlineStr">
        <is>
          <t>-</t>
        </is>
      </c>
      <c r="M2" s="2" t="inlineStr">
        <is>
          <t>Doc_02 §1</t>
        </is>
      </c>
    </row>
    <row r="3">
      <c r="A3" s="2" t="inlineStr">
        <is>
          <t>Rebaptism (Rebaptizare)</t>
        </is>
      </c>
      <c r="B3" s="2" t="inlineStr">
        <is>
          <t>1 - Founding Rupture, Purity, Legitimacy</t>
        </is>
      </c>
      <c r="C3" s="2" t="n">
        <v>1</v>
      </c>
      <c r="D3" s="2" t="inlineStr">
        <is>
          <t>N</t>
        </is>
      </c>
      <c r="E3" s="2" t="inlineStr">
        <is>
          <t>Y</t>
        </is>
      </c>
      <c r="F3" s="2" t="inlineStr">
        <is>
          <t>Y</t>
        </is>
      </c>
      <c r="G3" s="2" t="inlineStr">
        <is>
          <t>Y</t>
        </is>
      </c>
      <c r="H3" s="2" t="inlineStr">
        <is>
          <t>Y</t>
        </is>
      </c>
      <c r="I3" s="2" t="inlineStr">
        <is>
          <t>N</t>
        </is>
      </c>
      <c r="J3" s="2" t="inlineStr">
        <is>
          <t>N</t>
        </is>
      </c>
      <c r="K3" s="2" t="inlineStr">
        <is>
          <t>Baptism outside the one true church counts as no baptism at all, so anyone received from the rival communion must be baptized again - the rite that marks who truly belongs.</t>
        </is>
      </c>
      <c r="L3" s="2" t="inlineStr">
        <is>
          <t>Augustine</t>
        </is>
      </c>
      <c r="M3" s="2" t="inlineStr">
        <is>
          <t>Registry rows 3,4</t>
        </is>
      </c>
    </row>
    <row r="4">
      <c r="A4" s="2" t="inlineStr">
        <is>
          <t>Reception without Reordination</t>
        </is>
      </c>
      <c r="B4" s="2" t="inlineStr">
        <is>
          <t>1 - Founding Rupture, Purity, Legitimacy</t>
        </is>
      </c>
      <c r="C4" s="2" t="n">
        <v>2</v>
      </c>
      <c r="D4" s="2" t="inlineStr">
        <is>
          <t>Y</t>
        </is>
      </c>
      <c r="E4" s="2" t="inlineStr">
        <is>
          <t>N</t>
        </is>
      </c>
      <c r="F4" s="2" t="inlineStr">
        <is>
          <t>N</t>
        </is>
      </c>
      <c r="G4" s="2" t="inlineStr">
        <is>
          <t>Y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N</t>
        </is>
      </c>
      <c r="K4" s="2" t="inlineStr">
        <is>
          <t>The mainstream party's own practice, toward the returning Maximianist clergy, of restoring them to office and communion without repeating either ordination or baptism - the fact Augustine turns into his central argument against this world's own rebaptism logic.</t>
        </is>
      </c>
      <c r="L4" s="2" t="inlineStr">
        <is>
          <t>Augustine</t>
        </is>
      </c>
      <c r="M4" s="2" t="inlineStr">
        <is>
          <t>Registry rows 3,4,47</t>
        </is>
      </c>
    </row>
    <row r="5">
      <c r="A5" s="2" t="inlineStr">
        <is>
          <t>Purity (ministerial/sacramental)</t>
        </is>
      </c>
      <c r="B5" s="2" t="inlineStr">
        <is>
          <t>1 - Founding Rupture, Purity, Legitimacy</t>
        </is>
      </c>
      <c r="C5" s="2" t="n">
        <v>2</v>
      </c>
      <c r="D5" s="2" t="inlineStr">
        <is>
          <t>N</t>
        </is>
      </c>
      <c r="E5" s="2" t="inlineStr">
        <is>
          <t>Y</t>
        </is>
      </c>
      <c r="F5" s="2" t="inlineStr">
        <is>
          <t>Y</t>
        </is>
      </c>
      <c r="G5" s="2" t="inlineStr">
        <is>
          <t>Y</t>
        </is>
      </c>
      <c r="H5" s="2" t="inlineStr">
        <is>
          <t>N</t>
        </is>
      </c>
      <c r="I5" s="2" t="inlineStr">
        <is>
          <t>N</t>
        </is>
      </c>
      <c r="J5" s="2" t="inlineStr">
        <is>
          <t>N</t>
        </is>
      </c>
      <c r="K5" s="2" t="inlineStr">
        <is>
          <t>Sacramental validity is contingent on the minister's own personal holiness and unbroken freedom from traditio - a direct sharpening of Cyprian's own third-century position, not an invention at 311/312.</t>
        </is>
      </c>
      <c r="L5" s="2" t="inlineStr">
        <is>
          <t>-</t>
        </is>
      </c>
      <c r="M5" s="2" t="inlineStr">
        <is>
          <t>Doc_01 §5, §6</t>
        </is>
      </c>
    </row>
    <row r="6">
      <c r="A6" s="2" t="inlineStr">
        <is>
          <t>"Donatist" / Pars Donati</t>
        </is>
      </c>
      <c r="B6" s="2" t="inlineStr">
        <is>
          <t>2 - Contested Naming and Self-Understanding</t>
        </is>
      </c>
      <c r="C6" s="2" t="n">
        <v>2</v>
      </c>
      <c r="D6" s="2" t="inlineStr">
        <is>
          <t>N</t>
        </is>
      </c>
      <c r="E6" s="2" t="inlineStr">
        <is>
          <t>N</t>
        </is>
      </c>
      <c r="F6" s="2" t="inlineStr">
        <is>
          <t>Y</t>
        </is>
      </c>
      <c r="G6" s="2" t="inlineStr">
        <is>
          <t>N</t>
        </is>
      </c>
      <c r="H6" s="2" t="inlineStr">
        <is>
          <t>N</t>
        </is>
      </c>
      <c r="I6" s="2" t="inlineStr">
        <is>
          <t>Y</t>
        </is>
      </c>
      <c r="J6" s="2" t="inlineStr">
        <is>
          <t>N</t>
        </is>
      </c>
      <c r="K6" s="2" t="inlineStr">
        <is>
          <t>The name this world is remembered by, and the record is genuinely divided on its origin: Optatus's own quoted documents show Donatist clergy signing formal petitions "of the party of Donatus," yet Optatus turns that fact into an accusation - that they named a man instead of "the Church of Christ" - implying their own preferred self-description ran the other way.</t>
        </is>
      </c>
      <c r="L6" s="2" t="inlineStr">
        <is>
          <t>Optatus</t>
        </is>
      </c>
      <c r="M6" s="2" t="inlineStr">
        <is>
          <t>cic/texts/optatus_against-the-donatists.txt</t>
        </is>
      </c>
    </row>
    <row r="7">
      <c r="A7" s="2" t="inlineStr">
        <is>
          <t>Caecilianist</t>
        </is>
      </c>
      <c r="B7" s="2" t="inlineStr">
        <is>
          <t>2 - Contested Naming and Self-Understanding</t>
        </is>
      </c>
      <c r="C7" s="2" t="n">
        <v>3</v>
      </c>
      <c r="D7" s="2" t="inlineStr">
        <is>
          <t>Y</t>
        </is>
      </c>
      <c r="E7" s="2" t="inlineStr">
        <is>
          <t>N</t>
        </is>
      </c>
      <c r="F7" s="2" t="inlineStr">
        <is>
          <t>Y</t>
        </is>
      </c>
      <c r="G7" s="2" t="inlineStr">
        <is>
          <t>N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N</t>
        </is>
      </c>
      <c r="K7" s="2" t="inlineStr">
        <is>
          <t>This world's own name for its rival hierarchy, after Caecilian - a naming choice that itself refuses the rival's own claim to the unqualified name "Catholic" or "the Church."</t>
        </is>
      </c>
      <c r="L7" s="2" t="inlineStr">
        <is>
          <t>-</t>
        </is>
      </c>
      <c r="M7" s="2" t="inlineStr">
        <is>
          <t>Doc_01 §2</t>
        </is>
      </c>
    </row>
    <row r="8">
      <c r="A8" s="2" t="inlineStr">
        <is>
          <t>"Catholic" / Catholicus (contested application)</t>
        </is>
      </c>
      <c r="B8" s="2" t="inlineStr">
        <is>
          <t>2 - Contested Naming and Self-Understanding</t>
        </is>
      </c>
      <c r="C8" s="2" t="n">
        <v>2</v>
      </c>
      <c r="D8" s="2" t="inlineStr">
        <is>
          <t>N</t>
        </is>
      </c>
      <c r="E8" s="2" t="inlineStr">
        <is>
          <t>Y</t>
        </is>
      </c>
      <c r="F8" s="2" t="inlineStr">
        <is>
          <t>Y</t>
        </is>
      </c>
      <c r="G8" s="2" t="inlineStr">
        <is>
          <t>N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Both hierarchies read "catholic" (universal) as their own rightful title; the Donatist sermon's own admonitio preserves a Donatist author mocking the Caecilianist use of the word as a hollow appropriation.</t>
        </is>
      </c>
      <c r="L8" s="2" t="inlineStr">
        <is>
          <t>-</t>
        </is>
      </c>
      <c r="M8" s="2" t="inlineStr">
        <is>
          <t>Doc_02 §4; Registry row 50</t>
        </is>
      </c>
    </row>
    <row r="9">
      <c r="A9" s="2" t="inlineStr">
        <is>
          <t>Church / Ecclesia (the true-church claim)</t>
        </is>
      </c>
      <c r="B9" s="2" t="inlineStr">
        <is>
          <t>2 - Contested Naming and Self-Understanding</t>
        </is>
      </c>
      <c r="C9" s="2" t="n">
        <v>1</v>
      </c>
      <c r="D9" s="2" t="inlineStr">
        <is>
          <t>N</t>
        </is>
      </c>
      <c r="E9" s="2" t="inlineStr">
        <is>
          <t>Y</t>
        </is>
      </c>
      <c r="F9" s="2" t="inlineStr">
        <is>
          <t>Y</t>
        </is>
      </c>
      <c r="G9" s="2" t="inlineStr">
        <is>
          <t>N</t>
        </is>
      </c>
      <c r="H9" s="2" t="inlineStr">
        <is>
          <t>Y</t>
        </is>
      </c>
      <c r="I9" s="2" t="inlineStr">
        <is>
          <t>N</t>
        </is>
      </c>
      <c r="J9" s="2" t="inlineStr">
        <is>
          <t>N</t>
        </is>
      </c>
      <c r="K9" s="2" t="inlineStr">
        <is>
          <t>Not one uncontested institution but the very thing two complete, rival hierarchies both claim to be, town for town, across the whole of this world's own construction window.</t>
        </is>
      </c>
      <c r="L9" s="2" t="inlineStr">
        <is>
          <t>-</t>
        </is>
      </c>
      <c r="M9" s="2" t="inlineStr">
        <is>
          <t>Doc_01 §1, §3</t>
        </is>
      </c>
    </row>
    <row r="10">
      <c r="A10" s="2" t="inlineStr">
        <is>
          <t>Schism</t>
        </is>
      </c>
      <c r="B10" s="2" t="inlineStr">
        <is>
          <t>2 - Contested Naming and Self-Understanding</t>
        </is>
      </c>
      <c r="C10" s="2" t="n">
        <v>3</v>
      </c>
      <c r="D10" s="2" t="inlineStr">
        <is>
          <t>N</t>
        </is>
      </c>
      <c r="E10" s="2" t="inlineStr">
        <is>
          <t>Y</t>
        </is>
      </c>
      <c r="F10" s="2" t="inlineStr">
        <is>
          <t>Y</t>
        </is>
      </c>
      <c r="G10" s="2" t="inlineStr">
        <is>
          <t>N</t>
        </is>
      </c>
      <c r="H10" s="2" t="inlineStr">
        <is>
          <t>N</t>
        </is>
      </c>
      <c r="I10" s="2" t="inlineStr">
        <is>
          <t>N</t>
        </is>
      </c>
      <c r="J10" s="2" t="inlineStr">
        <is>
          <t>N</t>
        </is>
      </c>
      <c r="K10" s="2" t="inlineStr">
        <is>
          <t>A rupture in ecclesial unity - applied by each side to the other's departure from the truth, never accepted by either as a description of its own act.</t>
        </is>
      </c>
      <c r="L10" s="2" t="inlineStr">
        <is>
          <t>-</t>
        </is>
      </c>
      <c r="M10" s="2" t="inlineStr">
        <is>
          <t>Doc_01 §1</t>
        </is>
      </c>
    </row>
    <row r="11">
      <c r="A11" s="2" t="inlineStr">
        <is>
          <t>Martyr / Martyrdom (contested recognition)</t>
        </is>
      </c>
      <c r="B11" s="2" t="inlineStr">
        <is>
          <t>3 - Martyr-Cult and Memory</t>
        </is>
      </c>
      <c r="C11" s="2" t="n">
        <v>1</v>
      </c>
      <c r="D11" s="2" t="inlineStr">
        <is>
          <t>N</t>
        </is>
      </c>
      <c r="E11" s="2" t="inlineStr">
        <is>
          <t>Y</t>
        </is>
      </c>
      <c r="F11" s="2" t="inlineStr">
        <is>
          <t>Y</t>
        </is>
      </c>
      <c r="G11" s="2" t="inlineStr">
        <is>
          <t>N</t>
        </is>
      </c>
      <c r="H11" s="2" t="inlineStr">
        <is>
          <t>Y</t>
        </is>
      </c>
      <c r="I11" s="2" t="inlineStr">
        <is>
          <t>Y</t>
        </is>
      </c>
      <c r="J11" s="2" t="inlineStr">
        <is>
          <t>N</t>
        </is>
      </c>
      <c r="K11" s="2" t="inlineStr">
        <is>
          <t>Death borne for the true faith - but for this world's own most documented martyrs (the Macarian repression, 347-348), death at the hands of a rival Christian party's own imperial enforcement, a status the Caecilianist side never recognized as martyrdom at all.</t>
        </is>
      </c>
      <c r="L11" s="2" t="inlineStr">
        <is>
          <t>-</t>
        </is>
      </c>
      <c r="M11" s="2" t="inlineStr">
        <is>
          <t>Doc_02 §4; Registry rows 19,20,50</t>
        </is>
      </c>
    </row>
    <row r="12">
      <c r="A12" s="2" t="inlineStr">
        <is>
          <t>Confessor</t>
        </is>
      </c>
      <c r="B12" s="2" t="inlineStr">
        <is>
          <t>3 - Martyr-Cult and Memory</t>
        </is>
      </c>
      <c r="C12" s="2" t="n">
        <v>3</v>
      </c>
      <c r="D12" s="2" t="inlineStr">
        <is>
          <t>N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N</t>
        </is>
      </c>
      <c r="H12" s="2" t="inlineStr">
        <is>
          <t>N</t>
        </is>
      </c>
      <c r="I12" s="2" t="inlineStr">
        <is>
          <t>N</t>
        </is>
      </c>
      <c r="J12" s="2" t="inlineStr">
        <is>
          <t>N</t>
        </is>
      </c>
      <c r="K12" s="2" t="inlineStr">
        <is>
          <t>One who suffered for the faith and survived - a status this world's own martyr-narratives (the Passio Marculi, the Passio Isaac et Maximiani) hold alongside, and sometimes in tension with, the martyrs they commemorate.</t>
        </is>
      </c>
      <c r="L12" s="2" t="inlineStr">
        <is>
          <t>-</t>
        </is>
      </c>
      <c r="M12" s="2" t="inlineStr">
        <is>
          <t>Registry rows 19,20</t>
        </is>
      </c>
    </row>
    <row r="13">
      <c r="A13" s="2" t="inlineStr">
        <is>
          <t>Church of the Martyrs</t>
        </is>
      </c>
      <c r="B13" s="2" t="inlineStr">
        <is>
          <t>3 - Martyr-Cult and Memory</t>
        </is>
      </c>
      <c r="C13" s="2" t="n">
        <v>2</v>
      </c>
      <c r="D13" s="2" t="inlineStr">
        <is>
          <t>Y</t>
        </is>
      </c>
      <c r="E13" s="2" t="inlineStr">
        <is>
          <t>N</t>
        </is>
      </c>
      <c r="F13" s="2" t="inlineStr">
        <is>
          <t>Y</t>
        </is>
      </c>
      <c r="G13" s="2" t="inlineStr">
        <is>
          <t>N</t>
        </is>
      </c>
      <c r="H13" s="2" t="inlineStr">
        <is>
          <t>Y</t>
        </is>
      </c>
      <c r="I13" s="2" t="inlineStr">
        <is>
          <t>N</t>
        </is>
      </c>
      <c r="J13" s="2" t="inlineStr">
        <is>
          <t>N</t>
        </is>
      </c>
      <c r="K13" s="2" t="inlineStr">
        <is>
          <t>This world's own positive self-description: not a schism defined by what it left, but the one communion that has actually suffered, and gone on suffering, for the truth.</t>
        </is>
      </c>
      <c r="L13" s="2" t="inlineStr">
        <is>
          <t>-</t>
        </is>
      </c>
      <c r="M13" s="2" t="inlineStr">
        <is>
          <t>Doc_01 §1; Step0 §1</t>
        </is>
      </c>
    </row>
    <row r="14">
      <c r="A14" s="2" t="inlineStr">
        <is>
          <t>Deo laudes</t>
        </is>
      </c>
      <c r="B14" s="2" t="inlineStr">
        <is>
          <t>3 - Martyr-Cult and Memory</t>
        </is>
      </c>
      <c r="C14" s="2" t="n">
        <v>2</v>
      </c>
      <c r="D14" s="2" t="inlineStr">
        <is>
          <t>Y</t>
        </is>
      </c>
      <c r="E14" s="2" t="inlineStr">
        <is>
          <t>N</t>
        </is>
      </c>
      <c r="F14" s="2" t="inlineStr">
        <is>
          <t>Y</t>
        </is>
      </c>
      <c r="G14" s="2" t="inlineStr">
        <is>
          <t>N</t>
        </is>
      </c>
      <c r="H14" s="2" t="inlineStr">
        <is>
          <t>Y</t>
        </is>
      </c>
      <c r="I14" s="2" t="inlineStr">
        <is>
          <t>N</t>
        </is>
      </c>
      <c r="J14" s="2" t="inlineStr">
        <is>
          <t>N</t>
        </is>
      </c>
      <c r="K14" s="2" t="inlineStr">
        <is>
          <t>"Praise to God" - the Donatist party's own liturgical acclamation, set against the Caecilianist "Deo gratias" ("thanks to God"); attested independently of any hostile literary mediation, on stone, at Bagai and elsewhere.</t>
        </is>
      </c>
      <c r="L14" s="2" t="inlineStr">
        <is>
          <t>-</t>
        </is>
      </c>
      <c r="M14" s="2" t="inlineStr">
        <is>
          <t>Registry rows 27,48</t>
        </is>
      </c>
    </row>
    <row r="15">
      <c r="A15" s="2" t="inlineStr">
        <is>
          <t>Anniversaria Commemoratio</t>
        </is>
      </c>
      <c r="B15" s="2" t="inlineStr">
        <is>
          <t>3 - Martyr-Cult and Memory</t>
        </is>
      </c>
      <c r="C15" s="2" t="n">
        <v>3</v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inlineStr">
        <is>
          <t>Y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N</t>
        </is>
      </c>
      <c r="K15" s="2" t="inlineStr">
        <is>
          <t>The annual liturgical commemoration of a martyr's own death-day, marked by a sermon read or preached in the martyr's honor - the practice underlying the Passio Donati sermon's own occasion.</t>
        </is>
      </c>
      <c r="L15" s="2" t="inlineStr">
        <is>
          <t>Mabillon/Monceaux (mediated)</t>
        </is>
      </c>
      <c r="M15" s="2" t="inlineStr">
        <is>
          <t>Registry row 50</t>
        </is>
      </c>
    </row>
    <row r="16">
      <c r="A16" s="2" t="inlineStr">
        <is>
          <t>Bishop / Episcopus (parallel hierarchy)</t>
        </is>
      </c>
      <c r="B16" s="2" t="inlineStr">
        <is>
          <t>4 - Authority and Parallel Institutional Life</t>
        </is>
      </c>
      <c r="C16" s="2" t="n">
        <v>1</v>
      </c>
      <c r="D16" s="2" t="inlineStr">
        <is>
          <t>N</t>
        </is>
      </c>
      <c r="E16" s="2" t="inlineStr">
        <is>
          <t>Y</t>
        </is>
      </c>
      <c r="F16" s="2" t="inlineStr">
        <is>
          <t>Y</t>
        </is>
      </c>
      <c r="G16" s="2" t="inlineStr">
        <is>
          <t>N</t>
        </is>
      </c>
      <c r="H16" s="2" t="inlineStr">
        <is>
          <t>Y</t>
        </is>
      </c>
      <c r="I16" s="2" t="inlineStr">
        <is>
          <t>N</t>
        </is>
      </c>
      <c r="J16" s="2" t="inlineStr">
        <is>
          <t>N</t>
        </is>
      </c>
      <c r="K16" s="2" t="inlineStr">
        <is>
          <t>Not one office per see but two, contesting the same city and congregation - a complete rival hierarchy running the length and breadth of Roman North Africa.</t>
        </is>
      </c>
      <c r="L16" s="2" t="inlineStr">
        <is>
          <t>-</t>
        </is>
      </c>
      <c r="M16" s="2" t="inlineStr">
        <is>
          <t>Doc_01 §2; Doc_02 §2</t>
        </is>
      </c>
    </row>
    <row r="17">
      <c r="A17" s="2" t="inlineStr">
        <is>
          <t>Primate / Primas</t>
        </is>
      </c>
      <c r="B17" s="2" t="inlineStr">
        <is>
          <t>4 - Authority and Parallel Institutional Life</t>
        </is>
      </c>
      <c r="C17" s="2" t="n">
        <v>2</v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inlineStr">
        <is>
          <t>Y</t>
        </is>
      </c>
      <c r="H17" s="2" t="inlineStr">
        <is>
          <t>N</t>
        </is>
      </c>
      <c r="I17" s="2" t="inlineStr">
        <is>
          <t>N</t>
        </is>
      </c>
      <c r="J17" s="2" t="inlineStr">
        <is>
          <t>N</t>
        </is>
      </c>
      <c r="K17" s="2" t="inlineStr">
        <is>
          <t>The senior bishop of Carthage claimed by this world's own hierarchy (Donatus, then Parmenian, then Primian) - a title the rival hierarchy claims in parallel for its own occupant of the same see.</t>
        </is>
      </c>
      <c r="L17" s="2" t="inlineStr">
        <is>
          <t>-</t>
        </is>
      </c>
      <c r="M17" s="2" t="inlineStr">
        <is>
          <t>Doc_01 §4</t>
        </is>
      </c>
    </row>
    <row r="18">
      <c r="A18" s="2" t="inlineStr">
        <is>
          <t>Council / Concilium</t>
        </is>
      </c>
      <c r="B18" s="2" t="inlineStr">
        <is>
          <t>4 - Authority and Parallel Institutional Life</t>
        </is>
      </c>
      <c r="C18" s="2" t="n">
        <v>3</v>
      </c>
      <c r="D18" s="2" t="inlineStr">
        <is>
          <t>N</t>
        </is>
      </c>
      <c r="E18" s="2" t="inlineStr">
        <is>
          <t>Y</t>
        </is>
      </c>
      <c r="F18" s="2" t="inlineStr">
        <is>
          <t>N</t>
        </is>
      </c>
      <c r="G18" s="2" t="inlineStr">
        <is>
          <t>Y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N</t>
        </is>
      </c>
      <c r="K18" s="2" t="inlineStr">
        <is>
          <t>A gathering of this world's own bishops claiming the same binding conciliar authority the rival hierarchy's own councils claim - the mechanism by which this world tried, and once (the Maximianist affair) succeeded in, disciplining its own dissidents.</t>
        </is>
      </c>
      <c r="L18" s="2" t="inlineStr">
        <is>
          <t>-</t>
        </is>
      </c>
      <c r="M18" s="2" t="inlineStr">
        <is>
          <t>Doc_01 §4</t>
        </is>
      </c>
    </row>
    <row r="19">
      <c r="A19" s="2" t="inlineStr">
        <is>
          <t>Agonistici (outsider alias: Circumcellion)</t>
        </is>
      </c>
      <c r="B19" s="2" t="inlineStr">
        <is>
          <t>5 - Persecution, Imperial Relations, Agonistici</t>
        </is>
      </c>
      <c r="C19" s="2" t="n">
        <v>1</v>
      </c>
      <c r="D19" s="2" t="inlineStr">
        <is>
          <t>Y</t>
        </is>
      </c>
      <c r="E19" s="2" t="inlineStr">
        <is>
          <t>N</t>
        </is>
      </c>
      <c r="F19" s="2" t="inlineStr">
        <is>
          <t>Y</t>
        </is>
      </c>
      <c r="G19" s="2" t="inlineStr">
        <is>
          <t>Y</t>
        </is>
      </c>
      <c r="H19" s="2" t="inlineStr">
        <is>
          <t>Y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"Contestants" - the self-designation Augustine himself reports for a rural, itinerant group independently attested in imperial legislation; "Circumcellion" is the label this world's opponents gave the same group, and is the word a modern participant will actually bring to the conversation.</t>
        </is>
      </c>
      <c r="L19" s="2" t="inlineStr">
        <is>
          <t>Augustine/Optatus (HIGH on character/scale only)</t>
        </is>
      </c>
      <c r="M19" s="2" t="inlineStr">
        <is>
          <t>Doc_02 §6; Registry row 49</t>
        </is>
      </c>
    </row>
    <row r="20">
      <c r="A20" s="2" t="inlineStr">
        <is>
          <t>Refusal of Imperial Legitimacy</t>
        </is>
      </c>
      <c r="B20" s="2" t="inlineStr">
        <is>
          <t>5 - Persecution, Imperial Relations, Agonistici</t>
        </is>
      </c>
      <c r="C20" s="2" t="n">
        <v>2</v>
      </c>
      <c r="D20" s="2" t="inlineStr">
        <is>
          <t>Y</t>
        </is>
      </c>
      <c r="E20" s="2" t="inlineStr">
        <is>
          <t>N</t>
        </is>
      </c>
      <c r="F20" s="2" t="inlineStr">
        <is>
          <t>Y</t>
        </is>
      </c>
      <c r="G20" s="2" t="inlineStr">
        <is>
          <t>N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N</t>
        </is>
      </c>
      <c r="K20" s="2" t="inlineStr">
        <is>
          <t>The conviction, voiced in Donatus's own reported "What has the emperor to do with the church?", that the state has no standing to settle who the true church is - held on balance across this world's own window, but qualified at three specific points where this world's own actors turned to the same imperial machinery for their own purposes.</t>
        </is>
      </c>
      <c r="L20" s="2" t="inlineStr">
        <is>
          <t>-</t>
        </is>
      </c>
      <c r="M20" s="2" t="inlineStr">
        <is>
          <t>Doc_01 §5</t>
        </is>
      </c>
    </row>
    <row r="21">
      <c r="A21" s="2" t="inlineStr">
        <is>
          <t>Persecution (dual/layered memory)</t>
        </is>
      </c>
      <c r="B21" s="2" t="inlineStr">
        <is>
          <t>5 - Persecution, Imperial Relations, Agonistici</t>
        </is>
      </c>
      <c r="C21" s="2" t="n">
        <v>2</v>
      </c>
      <c r="D21" s="2" t="inlineStr">
        <is>
          <t>N</t>
        </is>
      </c>
      <c r="E21" s="2" t="inlineStr">
        <is>
          <t>Y</t>
        </is>
      </c>
      <c r="F21" s="2" t="inlineStr">
        <is>
          <t>Y</t>
        </is>
      </c>
      <c r="G21" s="2" t="inlineStr">
        <is>
          <t>N</t>
        </is>
      </c>
      <c r="H21" s="2" t="inlineStr">
        <is>
          <t>N</t>
        </is>
      </c>
      <c r="I21" s="2" t="inlineStr">
        <is>
          <t>N</t>
        </is>
      </c>
      <c r="J21" s="2" t="inlineStr">
        <is>
          <t>N</t>
        </is>
      </c>
      <c r="K21" s="2" t="inlineStr">
        <is>
          <t>Not one persecution but (at least) two, held together in this world's own memory: the empire-wide Diocletianic persecution suffered alongside the eventual rival, and the later, specifically Macarian persecution (347-348) suffered at that rival's own instigation.</t>
        </is>
      </c>
      <c r="L21" s="2" t="inlineStr">
        <is>
          <t>-</t>
        </is>
      </c>
      <c r="M21" s="2" t="inlineStr">
        <is>
          <t>Doc_01 §5</t>
        </is>
      </c>
    </row>
    <row r="22">
      <c r="A22" s="2" t="inlineStr">
        <is>
          <t>Liber Regularum / The Seven Rules</t>
        </is>
      </c>
      <c r="B22" s="2" t="inlineStr">
        <is>
          <t>6 - Interpretation (thin cluster)</t>
        </is>
      </c>
      <c r="C22" s="2" t="n">
        <v>2</v>
      </c>
      <c r="D22" s="2" t="inlineStr">
        <is>
          <t>Y</t>
        </is>
      </c>
      <c r="E22" s="2" t="inlineStr">
        <is>
          <t>N</t>
        </is>
      </c>
      <c r="F22" s="2" t="inlineStr">
        <is>
          <t>N</t>
        </is>
      </c>
      <c r="G22" s="2" t="inlineStr">
        <is>
          <t>Y</t>
        </is>
      </c>
      <c r="H22" s="2" t="inlineStr">
        <is>
          <t>N</t>
        </is>
      </c>
      <c r="I22" s="2" t="inlineStr">
        <is>
          <t>Y</t>
        </is>
      </c>
      <c r="J22" s="2" t="inlineStr">
        <is>
          <t>N</t>
        </is>
      </c>
      <c r="K22" s="2" t="inlineStr">
        <is>
          <t>Tyconius's own system of seven rules for reading scripture - the strongest counter-example to this world's otherwise thin, largely reactive interpretive record, produced by a figure his own party ultimately condemned.</t>
        </is>
      </c>
      <c r="L22" s="2" t="inlineStr">
        <is>
          <t>-</t>
        </is>
      </c>
      <c r="M22" s="2" t="inlineStr">
        <is>
          <t>Doc_01 §4; Registry rows 15,41</t>
        </is>
      </c>
    </row>
  </sheetData>
  <autoFilter ref="A1:M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0" customWidth="1" min="4" max="4"/>
  </cols>
  <sheetData>
    <row r="1">
      <c r="A1" s="3" t="inlineStr">
        <is>
          <t>Tier</t>
        </is>
      </c>
      <c r="B1" s="3" t="inlineStr">
        <is>
          <t>Term</t>
        </is>
      </c>
      <c r="C1" s="3" t="inlineStr">
        <is>
          <t>Cluster</t>
        </is>
      </c>
      <c r="D1" s="3" t="inlineStr">
        <is>
          <t>Tags Summary</t>
        </is>
      </c>
    </row>
    <row r="2">
      <c r="A2" s="2" t="n">
        <v>1</v>
      </c>
      <c r="B2" s="2" t="inlineStr">
        <is>
          <t>Traditor / Traditio</t>
        </is>
      </c>
      <c r="C2" s="2" t="inlineStr">
        <is>
          <t>1 - Founding Rupture, Purity, Legitimacy</t>
        </is>
      </c>
      <c r="D2" s="2" t="inlineStr">
        <is>
          <t>AS, DR, TC, RT</t>
        </is>
      </c>
    </row>
    <row r="3">
      <c r="A3" s="2" t="n">
        <v>1</v>
      </c>
      <c r="B3" s="2" t="inlineStr">
        <is>
          <t>Rebaptism (Rebaptizare)</t>
        </is>
      </c>
      <c r="C3" s="2" t="inlineStr">
        <is>
          <t>1 - Founding Rupture, Purity, Legitimacy</t>
        </is>
      </c>
      <c r="D3" s="2" t="inlineStr">
        <is>
          <t>SC, DR, TC, RT</t>
        </is>
      </c>
    </row>
    <row r="4">
      <c r="A4" s="2" t="n">
        <v>1</v>
      </c>
      <c r="B4" s="2" t="inlineStr">
        <is>
          <t>Church / Ecclesia (the true-church claim)</t>
        </is>
      </c>
      <c r="C4" s="2" t="inlineStr">
        <is>
          <t>2 - Contested Naming and Self-Understanding</t>
        </is>
      </c>
      <c r="D4" s="2" t="inlineStr">
        <is>
          <t>SC, DR, RT</t>
        </is>
      </c>
    </row>
    <row r="5">
      <c r="A5" s="2" t="n">
        <v>1</v>
      </c>
      <c r="B5" s="2" t="inlineStr">
        <is>
          <t>Martyr / Martyrdom (contested recognition)</t>
        </is>
      </c>
      <c r="C5" s="2" t="inlineStr">
        <is>
          <t>3 - Martyr-Cult and Memory</t>
        </is>
      </c>
      <c r="D5" s="2" t="inlineStr">
        <is>
          <t>SC, DR, RT, PV</t>
        </is>
      </c>
    </row>
    <row r="6">
      <c r="A6" s="2" t="n">
        <v>1</v>
      </c>
      <c r="B6" s="2" t="inlineStr">
        <is>
          <t>Bishop / Episcopus (parallel hierarchy)</t>
        </is>
      </c>
      <c r="C6" s="2" t="inlineStr">
        <is>
          <t>4 - Authority and Parallel Institutional Life</t>
        </is>
      </c>
      <c r="D6" s="2" t="inlineStr">
        <is>
          <t>SC, DR, RT</t>
        </is>
      </c>
    </row>
    <row r="7">
      <c r="A7" s="2" t="n">
        <v>1</v>
      </c>
      <c r="B7" s="2" t="inlineStr">
        <is>
          <t>Agonistici (outsider alias: Circumcellion)</t>
        </is>
      </c>
      <c r="C7" s="2" t="inlineStr">
        <is>
          <t>5 - Persecution, Imperial Relations, Agonistici</t>
        </is>
      </c>
      <c r="D7" s="2" t="inlineStr">
        <is>
          <t>AS, DR, TC, RT, PV, CT</t>
        </is>
      </c>
    </row>
    <row r="8">
      <c r="A8" s="2" t="n">
        <v>2</v>
      </c>
      <c r="B8" s="2" t="inlineStr">
        <is>
          <t>Reception without Reordination</t>
        </is>
      </c>
      <c r="C8" s="2" t="inlineStr">
        <is>
          <t>1 - Founding Rupture, Purity, Legitimacy</t>
        </is>
      </c>
      <c r="D8" s="2" t="inlineStr">
        <is>
          <t>AS, TC</t>
        </is>
      </c>
    </row>
    <row r="9">
      <c r="A9" s="2" t="n">
        <v>2</v>
      </c>
      <c r="B9" s="2" t="inlineStr">
        <is>
          <t>Purity (ministerial/sacramental)</t>
        </is>
      </c>
      <c r="C9" s="2" t="inlineStr">
        <is>
          <t>1 - Founding Rupture, Purity, Legitimacy</t>
        </is>
      </c>
      <c r="D9" s="2" t="inlineStr">
        <is>
          <t>SC, DR, TC</t>
        </is>
      </c>
    </row>
    <row r="10">
      <c r="A10" s="2" t="n">
        <v>2</v>
      </c>
      <c r="B10" s="2" t="inlineStr">
        <is>
          <t>"Donatist" / Pars Donati</t>
        </is>
      </c>
      <c r="C10" s="2" t="inlineStr">
        <is>
          <t>2 - Contested Naming and Self-Understanding</t>
        </is>
      </c>
      <c r="D10" s="2" t="inlineStr">
        <is>
          <t>DR, PV</t>
        </is>
      </c>
    </row>
    <row r="11">
      <c r="A11" s="2" t="n">
        <v>2</v>
      </c>
      <c r="B11" s="2" t="inlineStr">
        <is>
          <t>"Catholic" / Catholicus (contested application)</t>
        </is>
      </c>
      <c r="C11" s="2" t="inlineStr">
        <is>
          <t>2 - Contested Naming and Self-Understanding</t>
        </is>
      </c>
      <c r="D11" s="2" t="inlineStr">
        <is>
          <t>SC, DR</t>
        </is>
      </c>
    </row>
    <row r="12">
      <c r="A12" s="2" t="n">
        <v>2</v>
      </c>
      <c r="B12" s="2" t="inlineStr">
        <is>
          <t>Church of the Martyrs</t>
        </is>
      </c>
      <c r="C12" s="2" t="inlineStr">
        <is>
          <t>3 - Martyr-Cult and Memory</t>
        </is>
      </c>
      <c r="D12" s="2" t="inlineStr">
        <is>
          <t>AS, DR, RT</t>
        </is>
      </c>
    </row>
    <row r="13">
      <c r="A13" s="2" t="n">
        <v>2</v>
      </c>
      <c r="B13" s="2" t="inlineStr">
        <is>
          <t>Deo laudes</t>
        </is>
      </c>
      <c r="C13" s="2" t="inlineStr">
        <is>
          <t>3 - Martyr-Cult and Memory</t>
        </is>
      </c>
      <c r="D13" s="2" t="inlineStr">
        <is>
          <t>AS, DR, RT</t>
        </is>
      </c>
    </row>
    <row r="14">
      <c r="A14" s="2" t="n">
        <v>2</v>
      </c>
      <c r="B14" s="2" t="inlineStr">
        <is>
          <t>Primate / Primas</t>
        </is>
      </c>
      <c r="C14" s="2" t="inlineStr">
        <is>
          <t>4 - Authority and Parallel Institutional Life</t>
        </is>
      </c>
      <c r="D14" s="2" t="inlineStr">
        <is>
          <t>AS, TC</t>
        </is>
      </c>
    </row>
    <row r="15">
      <c r="A15" s="2" t="n">
        <v>2</v>
      </c>
      <c r="B15" s="2" t="inlineStr">
        <is>
          <t>Refusal of Imperial Legitimacy</t>
        </is>
      </c>
      <c r="C15" s="2" t="inlineStr">
        <is>
          <t>5 - Persecution, Imperial Relations, Agonistici</t>
        </is>
      </c>
      <c r="D15" s="2" t="inlineStr">
        <is>
          <t>AS, DR, PV</t>
        </is>
      </c>
    </row>
    <row r="16">
      <c r="A16" s="2" t="n">
        <v>2</v>
      </c>
      <c r="B16" s="2" t="inlineStr">
        <is>
          <t>Persecution (dual/layered memory)</t>
        </is>
      </c>
      <c r="C16" s="2" t="inlineStr">
        <is>
          <t>5 - Persecution, Imperial Relations, Agonistici</t>
        </is>
      </c>
      <c r="D16" s="2" t="inlineStr">
        <is>
          <t>SC, DR</t>
        </is>
      </c>
    </row>
    <row r="17">
      <c r="A17" s="2" t="n">
        <v>2</v>
      </c>
      <c r="B17" s="2" t="inlineStr">
        <is>
          <t>Liber Regularum / The Seven Rules</t>
        </is>
      </c>
      <c r="C17" s="2" t="inlineStr">
        <is>
          <t>6 - Interpretation (thin cluster)</t>
        </is>
      </c>
      <c r="D17" s="2" t="inlineStr">
        <is>
          <t>AS, TC, PV</t>
        </is>
      </c>
    </row>
    <row r="18">
      <c r="A18" s="2" t="n">
        <v>3</v>
      </c>
      <c r="B18" s="2" t="inlineStr">
        <is>
          <t>Caecilianist</t>
        </is>
      </c>
      <c r="C18" s="2" t="inlineStr">
        <is>
          <t>2 - Contested Naming and Self-Understanding</t>
        </is>
      </c>
      <c r="D18" s="2" t="inlineStr">
        <is>
          <t>AS, DR</t>
        </is>
      </c>
    </row>
    <row r="19">
      <c r="A19" s="2" t="n">
        <v>3</v>
      </c>
      <c r="B19" s="2" t="inlineStr">
        <is>
          <t>Schism</t>
        </is>
      </c>
      <c r="C19" s="2" t="inlineStr">
        <is>
          <t>2 - Contested Naming and Self-Understanding</t>
        </is>
      </c>
      <c r="D19" s="2" t="inlineStr">
        <is>
          <t>SC, DR</t>
        </is>
      </c>
    </row>
    <row r="20">
      <c r="A20" s="2" t="n">
        <v>3</v>
      </c>
      <c r="B20" s="2" t="inlineStr">
        <is>
          <t>Confessor</t>
        </is>
      </c>
      <c r="C20" s="2" t="inlineStr">
        <is>
          <t>3 - Martyr-Cult and Memory</t>
        </is>
      </c>
      <c r="D20" s="2" t="inlineStr">
        <is>
          <t>SC, DR</t>
        </is>
      </c>
    </row>
    <row r="21">
      <c r="A21" s="2" t="n">
        <v>3</v>
      </c>
      <c r="B21" s="2" t="inlineStr">
        <is>
          <t>Anniversaria Commemoratio</t>
        </is>
      </c>
      <c r="C21" s="2" t="inlineStr">
        <is>
          <t>3 - Martyr-Cult and Memory</t>
        </is>
      </c>
      <c r="D21" s="2" t="inlineStr">
        <is>
          <t>AS, TC</t>
        </is>
      </c>
    </row>
    <row r="22">
      <c r="A22" s="2" t="n">
        <v>3</v>
      </c>
      <c r="B22" s="2" t="inlineStr">
        <is>
          <t>Council / Concilium</t>
        </is>
      </c>
      <c r="C22" s="2" t="inlineStr">
        <is>
          <t>4 - Authority and Parallel Institutional Life</t>
        </is>
      </c>
      <c r="D22" s="2" t="inlineStr">
        <is>
          <t>SC, TC</t>
        </is>
      </c>
    </row>
    <row r="24">
      <c r="A24" s="4" t="inlineStr">
        <is>
          <t>Tier</t>
        </is>
      </c>
      <c r="B24" s="4" t="inlineStr">
        <is>
          <t>Count</t>
        </is>
      </c>
    </row>
    <row r="25">
      <c r="A25" s="5" t="n">
        <v>1</v>
      </c>
      <c r="B25" s="5">
        <f>COUNTIF('Candidate Roster'!C2:C22,1)</f>
        <v/>
      </c>
    </row>
    <row r="26">
      <c r="A26" s="5" t="n">
        <v>2</v>
      </c>
      <c r="B26" s="5">
        <f>COUNTIF('Candidate Roster'!C2:C22,2)</f>
        <v/>
      </c>
    </row>
    <row r="27">
      <c r="A27" s="5" t="n">
        <v>3</v>
      </c>
      <c r="B27" s="5">
        <f>COUNTIF('Candidate Roster'!C2:C22,3)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0" customWidth="1" min="3" max="3"/>
  </cols>
  <sheetData>
    <row r="1">
      <c r="A1" s="3" t="inlineStr">
        <is>
          <t>Tag</t>
        </is>
      </c>
      <c r="B1" s="3" t="inlineStr">
        <is>
          <t>Count</t>
        </is>
      </c>
      <c r="C1" s="3" t="inlineStr">
        <is>
          <t>Terms</t>
        </is>
      </c>
    </row>
    <row r="2">
      <c r="A2" s="2" t="inlineStr">
        <is>
          <t>AS</t>
        </is>
      </c>
      <c r="B2" s="2">
        <f>COUNTIF('Candidate Roster'!D2:D22,"Y")</f>
        <v/>
      </c>
      <c r="C2" s="2" t="inlineStr">
        <is>
          <t>Traditor / Traditio; Reception without Reordination; Caecilianist; Church of the Martyrs; Deo laudes; Anniversaria Commemoratio; Primate / Primas; Agonistici (outsider alias: Circumcellion); Refusal of Imperial Legitimacy; Liber Regularum / The Seven Rules</t>
        </is>
      </c>
    </row>
    <row r="3">
      <c r="A3" s="2" t="inlineStr">
        <is>
          <t>SC</t>
        </is>
      </c>
      <c r="B3" s="2">
        <f>COUNTIF('Candidate Roster'!E2:E22,"Y")</f>
        <v/>
      </c>
      <c r="C3" s="2" t="inlineStr">
        <is>
          <t>Rebaptism (Rebaptizare); Purity (ministerial/sacramental); "Catholic" / Catholicus (contested application); Church / Ecclesia (the true-church claim); Schism; Martyr / Martyrdom (contested recognition); Confessor; Bishop / Episcopus (parallel hierarchy); Council / Concilium; Persecution (dual/layered memory)</t>
        </is>
      </c>
    </row>
    <row r="4">
      <c r="A4" s="2" t="inlineStr">
        <is>
          <t>DR</t>
        </is>
      </c>
      <c r="B4" s="2">
        <f>COUNTIF('Candidate Roster'!F2:F22,"Y")</f>
        <v/>
      </c>
      <c r="C4" s="2" t="inlineStr">
        <is>
          <t>Traditor / Traditio; Rebaptism (Rebaptizare); Purity (ministerial/sacramental); "Donatist" / Pars Donati; Caecilianist; "Catholic" / Catholicus (contested application); Church / Ecclesia (the true-church claim); Schism; Martyr / Martyrdom (contested recognition); Confessor; Church of the Martyrs; Deo laudes; Bishop / Episcopus (parallel hierarchy); Agonistici (outsider alias: Circumcellion); Refusal of Imperial Legitimacy; Persecution (dual/layered memory)</t>
        </is>
      </c>
    </row>
    <row r="5">
      <c r="A5" s="2" t="inlineStr">
        <is>
          <t>TC</t>
        </is>
      </c>
      <c r="B5" s="2">
        <f>COUNTIF('Candidate Roster'!G2:G22,"Y")</f>
        <v/>
      </c>
      <c r="C5" s="2" t="inlineStr">
        <is>
          <t>Traditor / Traditio; Rebaptism (Rebaptizare); Reception without Reordination; Purity (ministerial/sacramental); Anniversaria Commemoratio; Primate / Primas; Council / Concilium; Agonistici (outsider alias: Circumcellion); Liber Regularum / The Seven Rules</t>
        </is>
      </c>
    </row>
    <row r="6">
      <c r="A6" s="2" t="inlineStr">
        <is>
          <t>RT</t>
        </is>
      </c>
      <c r="B6" s="2">
        <f>COUNTIF('Candidate Roster'!H2:H22,"Y")</f>
        <v/>
      </c>
      <c r="C6" s="2" t="inlineStr">
        <is>
          <t>Traditor / Traditio; Rebaptism (Rebaptizare); Church / Ecclesia (the true-church claim); Martyr / Martyrdom (contested recognition); Church of the Martyrs; Deo laudes; Bishop / Episcopus (parallel hierarchy); Agonistici (outsider alias: Circumcellion)</t>
        </is>
      </c>
    </row>
    <row r="7">
      <c r="A7" s="2" t="inlineStr">
        <is>
          <t>PV</t>
        </is>
      </c>
      <c r="B7" s="2">
        <f>COUNTIF('Candidate Roster'!I2:I22,"Y")</f>
        <v/>
      </c>
      <c r="C7" s="2" t="inlineStr">
        <is>
          <t>"Donatist" / Pars Donati; Martyr / Martyrdom (contested recognition); Agonistici (outsider alias: Circumcellion); Refusal of Imperial Legitimacy; Liber Regularum / The Seven Rules</t>
        </is>
      </c>
    </row>
    <row r="8">
      <c r="A8" s="2" t="inlineStr">
        <is>
          <t>CT</t>
        </is>
      </c>
      <c r="B8" s="2">
        <f>COUNTIF('Candidate Roster'!J2:J22,"Y")</f>
        <v/>
      </c>
      <c r="C8" s="2" t="inlineStr">
        <is>
          <t>Agonistici (outsider alias: Circumcellion)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90" customWidth="1" min="4" max="4"/>
  </cols>
  <sheetData>
    <row r="1">
      <c r="A1" s="3" t="inlineStr">
        <is>
          <t>Term</t>
        </is>
      </c>
      <c r="B1" s="3" t="inlineStr">
        <is>
          <t>CT Tagged?</t>
        </is>
      </c>
      <c r="C1" s="3" t="inlineStr">
        <is>
          <t>Contest Type Specified in Doc_03 §4?</t>
        </is>
      </c>
      <c r="D1" s="3" t="inlineStr">
        <is>
          <t>Contest Type (summary)</t>
        </is>
      </c>
    </row>
    <row r="2">
      <c r="A2" s="2" t="inlineStr">
        <is>
          <t>Agonistici (outsider alias: Circumcellion)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Meaning and historical scope: whether the hostile literary characterization of the group substantially reflects its actual character and scale, or is substantially a polemical construction (Frend vs. Shaw) - see Doc_03 §4 item 1.</t>
        </is>
      </c>
    </row>
    <row r="4">
      <c r="A4" s="4" t="inlineStr">
        <is>
          <t>Cross-check: CT-tagged terms in Candidate Roster</t>
        </is>
      </c>
      <c r="B4" s="5">
        <f>COUNTIF('Candidate Roster'!J2:J22,"Y")</f>
        <v/>
      </c>
    </row>
    <row r="5">
      <c r="A5" s="4" t="inlineStr">
        <is>
          <t>CT terms listed on this sheet</t>
        </is>
      </c>
      <c r="B5" s="5" t="n">
        <v>1</v>
      </c>
    </row>
    <row r="6">
      <c r="A6" s="4" t="inlineStr">
        <is>
          <t>Match?</t>
        </is>
      </c>
      <c r="B6" s="5">
        <f>IF(B4=B5,"OK","MISMATCH - investigate")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2026-09-02T02:15:54Z</dcterms:created>
  <dcterms:modified xsi:type="dcterms:W3CDTF">2026-09-02T02:15:54Z</dcterms:modified>
</cp:coreProperties>
</file>