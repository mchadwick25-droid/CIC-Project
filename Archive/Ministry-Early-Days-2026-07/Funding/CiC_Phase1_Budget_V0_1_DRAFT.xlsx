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Unit Economics" sheetId="3" state="visible" r:id="rId5"/>
    <sheet name="Per-World Annual Cost" sheetId="4" state="visible" r:id="rId6"/>
    <sheet name="Phase 1 Budge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<sst xmlns="http://schemas.openxmlformats.org/spreadsheetml/2006/main" count="277" uniqueCount="221">
  <si>
    <t xml:space="preserve">Church in Conversation — Phase 1 Budget</t>
  </si>
  <si>
    <t xml:space="preserve">Draft v0.1 · Built 2026-07-08 · For Mark&amp;apos;s review, not yet final</t>
  </si>
  <si>
    <t xml:space="preserve">What this is</t>
  </si>
  <si>
    <t xml:space="preserve">A working budget model for Phase 1 (first public release — 5 Ancient Church worlds, public access begins, per CiC_L3A_Phase_Structure_V1.1). Built from real API pricing and the project&amp;apos;s own engineering/governance documents, not invented from scratch.</t>
  </si>
  <si>
    <t xml:space="preserve">What it deliberately excludes</t>
  </si>
  <si>
    <t xml:space="preserve">No stipend for Mark is included anywhere in this budget, per his explicit instruction (2026-07-08). Add one later as a separate line when that&amp;apos;s ready to be decided.</t>
  </si>
  <si>
    <t xml:space="preserve">How to use it</t>
  </si>
  <si>
    <t xml:space="preserve">Change any blue cell on the Assumptions tab to test a different scenario — everything else recalculates. Black cells are formulas; green cells pull from another sheet. Do not type over black or green cells.</t>
  </si>
  <si>
    <t xml:space="preserve">Confidence levels, stated honestly</t>
  </si>
  <si>
    <t xml:space="preserve">Some numbers here are Documented (real quoted API pricing, dated and sourced). Others are Inferential/Thin — reasoned estimates from adjacent market comparables, because no list price exists (contract engineering hours, reviewer honoraria, hosting at a platform that hasn&amp;apos;t been chosen yet). Every assumption row on the Assumptions tab names its source and confidence level in the Notes column so nothing here is mistaken for more certain than it is.</t>
  </si>
  <si>
    <t xml:space="preserve">Two cost buckets, treated differently</t>
  </si>
  <si>
    <t xml:space="preserve">Bucket A (Unit Economics + Phase 1 Budget tabs) is usage-scaling cost — AI inference and voice generation, which scales with how many people use this and how much. It needs revenue that scales with usage too (subscriptions, donations, licensing). Bucket B is fixed/semi-fixed ministry cost — external scholarly reviewers, engineering build-out, hosting base fee — which scales with the number of worlds and features built, not with user count. It&amp;apos;s better suited to grants and institutional partnerships. See the 2026-07-08 decision log entry for the full reasoning.</t>
  </si>
  <si>
    <t xml:space="preserve">Biggest open uncertainty</t>
  </si>
  <si>
    <t xml:space="preserve">Per Mark&amp;apos;s 2026-07-08 decision, he&amp;apos;s building most of the Phase 1 feature set himself (retrieval systems, animated table, transparency apparatus) rather than hiring it out — the two bounded specialist-engineer engagements (initial deployment setup, pre-public audit) stay hired regardless. The DIY line&amp;apos;s cash cost is genuinely small (AI-assistance tokens), but it doesn&amp;apos;t count Mark&amp;apos;s own time, and there&amp;apos;s a reserved-but-not-committed hire-out fallback in Bucket B specifically for the hardest pieces (retrieval systems, Runtime State Model) if the DIY attempt stalls on them.</t>
  </si>
  <si>
    <t xml:space="preserve">Sheets in this workbook</t>
  </si>
  <si>
    <t xml:space="preserve">Assumptions (every input, with sources) · Unit Economics (per-user-per-month cost buildup) · Phase 1 Budget (scenario totals).</t>
  </si>
  <si>
    <t xml:space="preserve">Repair note (2026-07-08)</t>
  </si>
  <si>
    <t xml:space="preserve">This file was found corrupted on disk (missing zip central directory — a truncated write, same failure mode diagnosed earlier in this project). It was repaired by recovering the raw XML streams directly, which were intact, and reassembling a valid archive around them. Every number and formula in this file is byte-exact recovered — nothing was recalculated or guessed. The exception: the shared-string text table itself was truncated near its end, so roughly the last third of the workbook's text labels (most of the Per-World Annual Cost tab and the Phase 1 Budget tab) could not be recovered verbatim and were rewritten from scratch, grounded in the recovered formulas and this project's own decision log rather than guessed blind. If any rewritten label reads oddly against what you remember writing, the formula and value beside it are still the original — trust those over the wording.</t>
  </si>
  <si>
    <t xml:space="preserve">Assumptions</t>
  </si>
  <si>
    <t xml:space="preserve">Blue = input, change freely. Every row is sourced in the Notes column.</t>
  </si>
  <si>
    <t xml:space="preserve">Assumption</t>
  </si>
  <si>
    <t xml:space="preserve">Value</t>
  </si>
  <si>
    <t xml:space="preserve">Unit</t>
  </si>
  <si>
    <t xml:space="preserve">Source / Note</t>
  </si>
  <si>
    <t xml:space="preserve">USAGE PATTERN</t>
  </si>
  <si>
    <t xml:space="preserve">Conversational exchanges per hour</t>
  </si>
  <si>
    <t xml:space="preserve">turns/hour</t>
  </si>
  <si>
    <t xml:space="preserve">Working assumption — a real back-and-forth pace, not rapid chat. Set 2026-07-08.</t>
  </si>
  <si>
    <t xml:space="preserve">Hours of use per user per month</t>
  </si>
  <si>
    <t xml:space="preserve">hours</t>
  </si>
  <si>
    <t xml:space="preserve">Baseline usage scenario used throughout this thread&amp;apos;s cost discussion, 2026-07-08.</t>
  </si>
  <si>
    <t xml:space="preserve">Avg. Representatives responding per turn</t>
  </si>
  <si>
    <t xml:space="preserve">multiplier</t>
  </si>
  <si>
    <t xml:space="preserve">Blended factor for a multi-world Table — some turns invoke more than one Representative. Estimate.</t>
  </si>
  <si>
    <t xml:space="preserve">LLM TOKENS PER TURN (per Representative invoked)</t>
  </si>
  <si>
    <t xml:space="preserve">World Capsule Core</t>
  </si>
  <si>
    <t xml:space="preserve">tokens</t>
  </si>
  <si>
    <t xml:space="preserve">Source: CiC_FrontEnd_Engineering_Specification_V1_1, Sec 2.1 — target 3,000-5,000 tokens, midpoint used.</t>
  </si>
  <si>
    <t xml:space="preserve">World Priority Layer</t>
  </si>
  <si>
    <t xml:space="preserve">Estimate — Sec 2.2 describes content, gives no token target. Inferential/Thin.</t>
  </si>
  <si>
    <t xml:space="preserve">Retrieved chunks (lexicon/context/story)</t>
  </si>
  <si>
    <t xml:space="preserve">Estimate — Sec 2.3 target is 300-600 tokens/chunk; assumes ~1.5-2 chunks retrieved per turn on average.</t>
  </si>
  <si>
    <t xml:space="preserve">System / Facilitator prompt overhead</t>
  </si>
  <si>
    <t xml:space="preserve">Estimate — not specified in source docs. Inferential/Thin.</t>
  </si>
  <si>
    <t xml:space="preserve">Avg. public transcript size (per turn)</t>
  </si>
  <si>
    <t xml:space="preserve">Estimate — average transcript size across a ~40-turn, 2-hour session (starts at 0, ends ~8,000).</t>
  </si>
  <si>
    <t xml:space="preserve">Output tokens per response</t>
  </si>
  <si>
    <t xml:space="preserve">Estimate — a few sentences to a paragraph per response.</t>
  </si>
  <si>
    <t xml:space="preserve">LLM PRICING — Claude Sonnet 5 (working assumption; no runtime model chosen yet)</t>
  </si>
  <si>
    <t xml:space="preserve">Input price</t>
  </si>
  <si>
    <t xml:space="preserve">$/M tokens</t>
  </si>
  <si>
    <t xml:space="preserve">Source: platform.claude.com/docs pricing page, accessed 2026-07-08. Sonnet 5, rate through Aug 31 2026.</t>
  </si>
  <si>
    <t xml:space="preserve">Output price</t>
  </si>
  <si>
    <t xml:space="preserve">Same source.</t>
  </si>
  <si>
    <t xml:space="preserve">Prompt-cache read multiplier</t>
  </si>
  <si>
    <t xml:space="preserve">x base input price</t>
  </si>
  <si>
    <t xml:space="preserve">Source: platform.claude.com/docs prompt-caching page, accessed 2026-07-08 — cache reads billed at 0.1x.</t>
  </si>
  <si>
    <t xml:space="preserve">LLM PRICING — Claude Opus (used for review passes, per the project&amp;apos;s own review model)</t>
  </si>
  <si>
    <t xml:space="preserve">Opus input price</t>
  </si>
  <si>
    <t xml:space="preserve">Source: platform.claude.com/docs pricing page, accessed 2026-07-08.</t>
  </si>
  <si>
    <t xml:space="preserve">Opus output price</t>
  </si>
  <si>
    <t xml:space="preserve">WORLD CONSTRUCTION — build-time AI cost (research + drafting + review, one world)</t>
  </si>
  <si>
    <t xml:space="preserve">Drafting/research input tokens — low</t>
  </si>
  <si>
    <t xml:space="preserve">Estimate — cumulative context across a full build thread (Docs 01-09, World Profile, deployment packaging). Inferential/Thin, no per-world token log exists.</t>
  </si>
  <si>
    <t xml:space="preserve">Drafting/research input tokens — high</t>
  </si>
  <si>
    <t xml:space="preserve">Same basis, upper bound — accounts for a long, iterative build with substantial re-reading of accumulated documents.</t>
  </si>
  <si>
    <t xml:space="preserve">Drafting/research output tokens — low</t>
  </si>
  <si>
    <t xml:space="preserve">Estimate — final + intermediate draft content across ~9-11 major deliverables (Docs 01-09, World Profile, deployment package chunks).</t>
  </si>
  <si>
    <t xml:space="preserve">Drafting/research output tokens — high</t>
  </si>
  <si>
    <t xml:space="preserve">Same basis, upper bound.</t>
  </si>
  <si>
    <t xml:space="preserve">Opus review-pass input tokens — low</t>
  </si>
  <si>
    <t xml:space="preserve">Estimate — each review re-reads accumulated world documentation; assumes ~1-1.5 review passes per major document.</t>
  </si>
  <si>
    <t xml:space="preserve">Opus review-pass input tokens — high</t>
  </si>
  <si>
    <t xml:space="preserve">Same basis, upper bound — assumes more review rounds and deeper re-reads.</t>
  </si>
  <si>
    <t xml:space="preserve">Opus review-pass output tokens — low</t>
  </si>
  <si>
    <t xml:space="preserve">Estimate — written critique per review pass.</t>
  </si>
  <si>
    <t xml:space="preserve">Opus review-pass output tokens — high</t>
  </si>
  <si>
    <t xml:space="preserve">VOICE (text-to-speech)</t>
  </si>
  <si>
    <t xml:space="preserve">AI-generated speech as share of session</t>
  </si>
  <si>
    <t xml:space="preserve">fraction</t>
  </si>
  <si>
    <t xml:space="preserve">Working assumption — roughly half of session time is AI speaking, half participant.</t>
  </si>
  <si>
    <t xml:space="preserve">Voice price — unoptimized (ElevenLabs)</t>
  </si>
  <si>
    <t xml:space="preserve">$/minute</t>
  </si>
  <si>
    <t xml:space="preserve">Source: elevenlabs.io/pricing/api, Speech Engine (conversational), accessed 2026-07-08.</t>
  </si>
  <si>
    <t xml:space="preserve">Voice price — optimized (Google Chirp 3: HD)</t>
  </si>
  <si>
    <t xml:space="preserve">Derived from cloud.google.com/text-to-speech/pricing ($30/1M chars) at ~900 chars/min. Quality vs. ElevenLabs not yet A/B tested — see decision log.</t>
  </si>
  <si>
    <t xml:space="preserve">PHASE 1 USER SCENARIOS</t>
  </si>
  <si>
    <t xml:space="preserve">Low adoption</t>
  </si>
  <si>
    <t xml:space="preserve">users</t>
  </si>
  <si>
    <t xml:space="preserve">Working assumption — a modest early public launch.</t>
  </si>
  <si>
    <t xml:space="preserve">Medium adoption</t>
  </si>
  <si>
    <t xml:space="preserve">Working assumption.</t>
  </si>
  <si>
    <t xml:space="preserve">High adoption</t>
  </si>
  <si>
    <t xml:space="preserve">Matches the scale point raised in this thread&amp;apos;s discussion on 2026-07-08.</t>
  </si>
  <si>
    <t xml:space="preserve">EXTERNAL SCHOLARLY REVIEWERS — Constitution Article 31</t>
  </si>
  <si>
    <t xml:space="preserve">Worlds requiring review</t>
  </si>
  <si>
    <t xml:space="preserve">worlds</t>
  </si>
  <si>
    <t xml:space="preserve">Phase 1 requires the full 5-world Ancient Church set table-ready, per CiC_L3A_Phase_Structure_V1.1.</t>
  </si>
  <si>
    <t xml:space="preserve">Cost per world — relational/honorarium</t>
  </si>
  <si>
    <t xml:space="preserve">$/world</t>
  </si>
  <si>
    <t xml:space="preserve">Scholar personally invested in the project (per the Letter to Friends&amp;apos; own ask). Discussed 2026-07-08. Inferential/Thin.</t>
  </si>
  <si>
    <t xml:space="preserve">Cost per world — formal paid consulting</t>
  </si>
  <si>
    <t xml:space="preserve">Midpoint of the $2,000-5,000 formal-consulting scenario discussed 2026-07-08. Inferential/Thin.</t>
  </si>
  <si>
    <t xml:space="preserve">PER-WORLD RUNTIME AUDIENCE — illustrative, for a single world&amp;apos;s annual cost</t>
  </si>
  <si>
    <t xml:space="preserve">Small audience</t>
  </si>
  <si>
    <t xml:space="preserve">users/year</t>
  </si>
  <si>
    <t xml:space="preserve">Illustrative — a single world used by a modest number of people over a year.</t>
  </si>
  <si>
    <t xml:space="preserve">Medium audience</t>
  </si>
  <si>
    <t xml:space="preserve">Illustrative.</t>
  </si>
  <si>
    <t xml:space="preserve">Large audience</t>
  </si>
  <si>
    <t xml:space="preserve">ENGINEERING — Mark builds most of it himself, per his decision 2026-07-08</t>
  </si>
  <si>
    <t xml:space="preserve">Engagement One — initial deployment setup (hired) — low</t>
  </si>
  <si>
    <t xml:space="preserve">Bounded engagement per Front-End Spec Sec 6 — once platform is chosen. Placeholder pending real scoping.</t>
  </si>
  <si>
    <t xml:space="preserve">Engagement One — initial deployment setup (hired) — high</t>
  </si>
  <si>
    <t xml:space="preserve">Engagement Two — pre-public-availability audit (hired)</t>
  </si>
  <si>
    <t xml:space="preserve">Per CiC_FrontEnd_Engineering_Specification_V1_1, Sec 6. Rough placeholder pending real scoping.</t>
  </si>
  <si>
    <t xml:space="preserve">Engineer rate — low</t>
  </si>
  <si>
    <t xml:space="preserve">$/hour</t>
  </si>
  <si>
    <t xml:space="preserve">Source: zenvanriel.com freelance AI engineer rate guide, accessed 2026-07-08 (LLM API integration / RAG range).</t>
  </si>
  <si>
    <t xml:space="preserve">Engineer rate — high</t>
  </si>
  <si>
    <t xml:space="preserve">Same source, upper end of RAG/voice-AI specialist range.</t>
  </si>
  <si>
    <t xml:space="preserve">DIY build — AI-assistance input tokens, low</t>
  </si>
  <si>
    <t xml:space="preserve">Estimate for Mark building the Phase 1 feature set himself with Claude Code-style assistance over the build period. Inferential/Thin.</t>
  </si>
  <si>
    <t xml:space="preserve">DIY build — AI-assistance input tokens, high</t>
  </si>
  <si>
    <t xml:space="preserve">Same basis, upper bound — assumes a longer, more iterative DIY effort with heavy codebase re-reads.</t>
  </si>
  <si>
    <t xml:space="preserve">DIY build — AI-assistance output tokens, low</t>
  </si>
  <si>
    <t xml:space="preserve">Estimate — generated code, tests, and debugging output.</t>
  </si>
  <si>
    <t xml:space="preserve">DIY build — AI-assistance output tokens, high</t>
  </si>
  <si>
    <t xml:space="preserve">Hire-out fallback (hardest pieces only) — low</t>
  </si>
  <si>
    <t xml:space="preserve">Reserve, not committed spend — retrieval systems + Runtime State Model specifically, if DIY stalls on these. Roughly a third to half of a full hired build-out.</t>
  </si>
  <si>
    <t xml:space="preserve">Hire-out fallback (hardest pieces only) — high</t>
  </si>
  <si>
    <t xml:space="preserve">HOSTING / PLATFORM</t>
  </si>
  <si>
    <t xml:space="preserve">Monthly base hosting — low</t>
  </si>
  <si>
    <t xml:space="preserve">$/month</t>
  </si>
  <si>
    <t xml:space="preserve">Placeholder — no platform has been chosen yet (Front-End Spec Sec 5.5). Excludes AI usage cost, counted separately.</t>
  </si>
  <si>
    <t xml:space="preserve">Monthly base hosting — high</t>
  </si>
  <si>
    <t xml:space="preserve">LEGAL / ENTITY (contingent on the legal-structure decision — see 2026-07-08 bridge memo)</t>
  </si>
  <si>
    <t xml:space="preserve">Fiscal sponsor fee</t>
  </si>
  <si>
    <t xml:space="preserve">% of funds raised</t>
  </si>
  <si>
    <t xml:space="preserve">Midpoint of the 5-10% range named in the bridge memo. Applies only if fiscal sponsorship is the active path.</t>
  </si>
  <si>
    <t xml:space="preserve">Nonprofit filing — one-time cost</t>
  </si>
  <si>
    <t xml:space="preserve">$</t>
  </si>
  <si>
    <t xml:space="preserve">Midpoint of the low-four-figures-to-several-thousand range named in the bridge memo. Applies only if filing directly.</t>
  </si>
  <si>
    <t xml:space="preserve">Unit Economics — Cost per User per Month</t>
  </si>
  <si>
    <t xml:space="preserve">Green cells pull from the Assumptions tab. All formulas — change assumptions there, not here.</t>
  </si>
  <si>
    <t xml:space="preserve">Metric</t>
  </si>
  <si>
    <t xml:space="preserve">Optimized (caching + Google Chirp 3 HD voice)</t>
  </si>
  <si>
    <t xml:space="preserve">Unoptimized (no caching + ElevenLabs)</t>
  </si>
  <si>
    <t xml:space="preserve">TEXT / LLM</t>
  </si>
  <si>
    <t xml:space="preserve">Turns per month</t>
  </si>
  <si>
    <t xml:space="preserve">Fixed (cacheable) tokens/turn</t>
  </si>
  <si>
    <t xml:space="preserve">Non-cacheable tokens/turn (retrieval + transcript)</t>
  </si>
  <si>
    <t xml:space="preserve">Billed input tokens/turn</t>
  </si>
  <si>
    <t xml:space="preserve">Input cost/turn ($)</t>
  </si>
  <si>
    <t xml:space="preserve">Output cost/turn ($)</t>
  </si>
  <si>
    <t xml:space="preserve">LLM cost/turn, incl. multi-Rep factor ($)</t>
  </si>
  <si>
    <t xml:space="preserve">LLM cost per user per month</t>
  </si>
  <si>
    <t xml:space="preserve">VOICE</t>
  </si>
  <si>
    <t xml:space="preserve">AI speech minutes per month</t>
  </si>
  <si>
    <t xml:space="preserve">Voice cost per user per month</t>
  </si>
  <si>
    <t xml:space="preserve">TOTAL — USAGE COST PER USER</t>
  </si>
  <si>
    <t xml:space="preserve">Total per user per month</t>
  </si>
  <si>
    <t xml:space="preserve">Total per user per year</t>
  </si>
  <si>
    <t xml:space="preserve">Church in Conversation — Per-World Annual Cost</t>
  </si>
  <si>
    <t xml:space="preserve">Draft v0.1 · Built 2026-07-08 · What one formation world costs to build and run, one year, at three illustrative audience sizes.</t>
  </si>
  <si>
    <t xml:space="preserve">Line Item</t>
  </si>
  <si>
    <t xml:space="preserve">Low</t>
  </si>
  <si>
    <t xml:space="preserve">High</t>
  </si>
  <si>
    <t xml:space="preserve">Note</t>
  </si>
  <si>
    <t xml:space="preserve">WORLD CONSTRUCTION — build-time AI cost (one-time, per world)</t>
  </si>
  <si>
    <t xml:space="preserve">Drafting / research (Claude Sonnet)</t>
  </si>
  <si>
    <t xml:space="preserve">Sonnet input + output token cost for one world's research and drafting pass — see Assumptions tab for the token-volume basis.</t>
  </si>
  <si>
    <t xml:space="preserve">Review passes (Claude Opus)</t>
  </si>
  <si>
    <t xml:space="preserve">Opus input + output token cost for review passes on one world — see Assumptions tab.</t>
  </si>
  <si>
    <t xml:space="preserve">World construction — subtotal</t>
  </si>
  <si>
    <t xml:space="preserve">Genuinely small — build-time AI cost is a rounding error next to the human-cost lines (external review, engineering, hosting) below. Confirms the project's own intuition rather than contradicting it.</t>
  </si>
  <si>
    <t xml:space="preserve">ARTICLE 31 EXTERNAL SCHOLARLY REVIEW (one-time, per world)</t>
  </si>
  <si>
    <t xml:space="preserve">Cost per world</t>
  </si>
  <si>
    <t xml:space="preserve">Relational/honorarium (low) to formal paid consulting (high) — see Assumptions tab.</t>
  </si>
  <si>
    <t xml:space="preserve">RUNTIME — annual usage cost, scales with audience</t>
  </si>
  <si>
    <t xml:space="preserve">Small audience (~50 users/year)</t>
  </si>
  <si>
    <t xml:space="preserve">Medium audience (~250 users/year)</t>
  </si>
  <si>
    <t xml:space="preserve">Illustrative — matches the Phase 1 Budget tab's Low-adoption scenario.</t>
  </si>
  <si>
    <t xml:space="preserve">Large audience (~1,000 users/year)</t>
  </si>
  <si>
    <t xml:space="preserve">ONE WORLD, ONE YEAR — HEADLINE (medium/250-user audience)</t>
  </si>
  <si>
    <t xml:space="preserve">Total — construction + review + medium-audience runtime</t>
  </si>
  <si>
    <t xml:space="preserve">= World construction subtotal + Article 31 review (low) + medium-audience runtime.</t>
  </si>
  <si>
    <t xml:space="preserve">Excludes hosting/platform base fee and any stipend for Mark — those are workbook-wide costs tracked on the Phase 1 Budget tab, not per-world costs.</t>
  </si>
  <si>
    <t xml:space="preserve">Draft v0.1 · Built 2026-07-08, revised — Mark builds most of it himself; no stipend included. For Mark's review, not yet final.</t>
  </si>
  <si>
    <t xml:space="preserve">BUCKET A — USAGE-SCALING COST (annual, recurring — needs revenue that scales with usage)</t>
  </si>
  <si>
    <t xml:space="preserve">Adoption Scenario</t>
  </si>
  <si>
    <t xml:space="preserve">Users</t>
  </si>
  <si>
    <t xml:space="preserve">Optimized — Annual</t>
  </si>
  <si>
    <t xml:space="preserve">Unoptimized — Annual</t>
  </si>
  <si>
    <t xml:space="preserve">BUCKET B — FIXED MINISTRY &amp; BUILD-OUT COST (scales with worlds/features, not user count)</t>
  </si>
  <si>
    <t xml:space="preserve">Timing</t>
  </si>
  <si>
    <t xml:space="preserve">External scholarly reviewers (Article 31)</t>
  </si>
  <si>
    <t xml:space="preserve">One-time</t>
  </si>
  <si>
    <t xml:space="preserve">5 worlds x $500-3,500/world — see Assumptions tab.</t>
  </si>
  <si>
    <t xml:space="preserve">Engagement One — initial deployment setup (hired)</t>
  </si>
  <si>
    <t xml:space="preserve">Bounded, hired engagement once the platform is chosen — per Front-End Spec Sec 6. Placeholder pending real scoping.</t>
  </si>
  <si>
    <t xml:space="preserve">Must be an engineer with no prior build involvement — Front-End Spec Sec 6. Hired regardless of the DIY decision below.</t>
  </si>
  <si>
    <t xml:space="preserve">DIY build — Mark's own AI-assisted engineering time (API cost only)</t>
  </si>
  <si>
    <t xml:space="preserve">Raw Claude Code-style token cost for Mark building the Phase 1 feature set himself — see Assumptions tab. Excludes Mark's own unpaid time.</t>
  </si>
  <si>
    <t xml:space="preserve">Hosting / platform base fee (annual)</t>
  </si>
  <si>
    <t xml:space="preserve">Annual</t>
  </si>
  <si>
    <t xml:space="preserve">Placeholder — no platform chosen yet. Excludes AI usage cost, counted separately.</t>
  </si>
  <si>
    <t xml:space="preserve">Bucket B subtotal (Year 1)</t>
  </si>
  <si>
    <t xml:space="preserve">Hire-out fallback reserve (hardest pieces only, if DIY stalls)</t>
  </si>
  <si>
    <t xml:space="preserve">Reserve, not committed</t>
  </si>
  <si>
    <t xml:space="preserve">Not in the subtotal above. Retrieval systems + Runtime State Model specifically, if DIY stalls on these — roughly a third to half of a full hired build-out.</t>
  </si>
  <si>
    <t xml:space="preserve">Not included above — legal/entity formation (contingent on the legal-structure decision, see the 2026-07-08 bridge memo):</t>
  </si>
  <si>
    <t xml:space="preserve">Applied to total funds raised, not a fixed dollar amount — only if fiscal sponsorship is the active path.</t>
  </si>
  <si>
    <t xml:space="preserve">Nonprofit filing (one-time, if filing directly instead)</t>
  </si>
  <si>
    <t xml:space="preserve">TOTAL PHASE 1 FIRST-YEAR BUDGET (Bucket A + Bucket B, excludes legal/entity fee and any stipend for Mark)</t>
  </si>
  <si>
    <t xml:space="preserve">Scenario</t>
  </si>
  <si>
    <t xml:space="preserve">Total — Year 1</t>
  </si>
  <si>
    <t xml:space="preserve">Lean case — Low adoption, DIY engineering, minimum Bucket B</t>
  </si>
  <si>
    <t xml:space="preserve">Planning estimate — Medium adoption, blended DIY/hire-out, blended Bucket B</t>
  </si>
  <si>
    <t xml:space="preserve">Conservative case — High adoption, full hire-out fallback engaged, maximum Bucket B</t>
  </si>
  <si>
    <t xml:space="preserve">Excludes: any stipend for Mark; legal/entity fee (contingent, see above). DIY engineering cost above is API/token cost only — Mark's own time is not priced. If the hire-out fallback reserve is engaged, add it to Bucket B before totaling.</t>
  </si>
</sst>
</file>

<file path=xl/styles.xml><?xml version="1.0" encoding="utf-8"?>
<styleSheet xmlns="http://schemas.openxmlformats.org/spreadsheetml/2006/main">
  <numFmts count="7">
    <numFmt numFmtId="164" formatCode="General"/>
    <numFmt numFmtId="165" formatCode="0.000"/>
    <numFmt numFmtId="166" formatCode="#,##0"/>
    <numFmt numFmtId="167" formatCode="\$#,##0.0000"/>
    <numFmt numFmtId="168" formatCode="\$#,##0"/>
    <numFmt numFmtId="169" formatCode="\$#,##0.00"/>
    <numFmt numFmtId="170" formatCode="0.0%"/>
  </numFmts>
  <fonts count="15">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i val="true"/>
      <sz val="10"/>
      <color rgb="FF595959"/>
      <name val="Arial"/>
      <family val="0"/>
      <charset val="1"/>
    </font>
    <font>
      <b val="true"/>
      <sz val="10"/>
      <color rgb="FF000000"/>
      <name val="Arial"/>
      <family val="0"/>
      <charset val="1"/>
    </font>
    <font>
      <sz val="10"/>
      <color rgb="FF000000"/>
      <name val="Arial"/>
      <family val="0"/>
      <charset val="1"/>
    </font>
    <font>
      <b val="true"/>
      <sz val="10"/>
      <name val="Arial"/>
      <family val="0"/>
      <charset val="1"/>
    </font>
    <font>
      <sz val="10"/>
      <name val="Arial"/>
      <family val="0"/>
      <charset val="1"/>
    </font>
    <font>
      <b val="true"/>
      <sz val="11"/>
      <color rgb="FFFFFFFF"/>
      <name val="Arial"/>
      <family val="0"/>
      <charset val="1"/>
    </font>
    <font>
      <b val="true"/>
      <sz val="10"/>
      <color rgb="FFFFFFFF"/>
      <name val="Arial"/>
      <family val="0"/>
      <charset val="1"/>
    </font>
    <font>
      <sz val="10"/>
      <color rgb="FF0000FF"/>
      <name val="Arial"/>
      <family val="0"/>
      <charset val="1"/>
    </font>
    <font>
      <i val="true"/>
      <sz val="9"/>
      <color rgb="FF595959"/>
      <name val="Arial"/>
      <family val="0"/>
      <charset val="1"/>
    </font>
    <font>
      <sz val="10"/>
      <color rgb="FF008000"/>
      <name val="Arial"/>
      <family val="0"/>
      <charset val="1"/>
    </font>
  </fonts>
  <fills count="7">
    <fill>
      <patternFill patternType="none"/>
    </fill>
    <fill>
      <patternFill patternType="gray125"/>
    </fill>
    <fill>
      <patternFill patternType="solid">
        <fgColor rgb="FF2E4057"/>
        <bgColor rgb="FF333399"/>
      </patternFill>
    </fill>
    <fill>
      <patternFill patternType="solid">
        <fgColor rgb="FF5B7B9A"/>
        <bgColor rgb="FF595959"/>
      </patternFill>
    </fill>
    <fill>
      <patternFill patternType="solid">
        <fgColor rgb="FFF2F2F2"/>
        <bgColor rgb="FFFFFFFF"/>
      </patternFill>
    </fill>
    <fill>
      <patternFill patternType="solid">
        <fgColor rgb="FFDCE6F1"/>
        <bgColor rgb="FFF2F2F2"/>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5" fontId="12" fillId="4" borderId="1" xfId="0" applyFont="true" applyBorder="tru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6" fontId="14"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8" fontId="14" fillId="5" borderId="0" xfId="0" applyFont="true" applyBorder="false" applyAlignment="true" applyProtection="false">
      <alignment horizontal="general" vertical="bottom" textRotation="0" wrapText="false" indent="0" shrinkToFit="false"/>
      <protection locked="true" hidden="false"/>
    </xf>
    <xf numFmtId="169" fontId="14" fillId="0" borderId="0" xfId="0" applyFont="true" applyBorder="false" applyAlignment="true" applyProtection="false">
      <alignment horizontal="general" vertical="bottom" textRotation="0" wrapText="false" indent="0" shrinkToFit="false"/>
      <protection locked="true" hidden="false"/>
    </xf>
    <xf numFmtId="168" fontId="14" fillId="0" borderId="0" xfId="0" applyFont="true" applyBorder="false" applyAlignment="true" applyProtection="false">
      <alignment horizontal="general" vertical="bottom" textRotation="0" wrapText="false" indent="0" shrinkToFit="false"/>
      <protection locked="true" hidden="false"/>
    </xf>
    <xf numFmtId="164" fontId="13" fillId="6"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6" borderId="0" xfId="0" applyFont="true" applyBorder="false" applyAlignment="true" applyProtection="false">
      <alignment horizontal="general" vertical="bottom" textRotation="0" wrapText="false" indent="0" shrinkToFit="false"/>
      <protection locked="true" hidden="false"/>
    </xf>
    <xf numFmtId="164" fontId="13" fillId="5" borderId="0" xfId="0" applyFont="true" applyBorder="false" applyAlignment="true" applyProtection="false">
      <alignment horizontal="general" vertical="bottom" textRotation="0" wrapText="false" indent="0" shrinkToFit="false"/>
      <protection locked="true" hidden="false"/>
    </xf>
    <xf numFmtId="168" fontId="6" fillId="5"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595959"/>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7B9A"/>
      <rgbColor rgb="FF969696"/>
      <rgbColor rgb="FF003366"/>
      <rgbColor rgb="FF339966"/>
      <rgbColor rgb="FF003300"/>
      <rgbColor rgb="FF333300"/>
      <rgbColor rgb="FF993300"/>
      <rgbColor rgb="FF993366"/>
      <rgbColor rgb="FF333399"/>
      <rgbColor rgb="FF2E40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6" min="2" style="1" width="16"/>
  </cols>
  <sheetData>
    <row r="1" customFormat="false" ht="17.25" hidden="false" customHeight="true" outlineLevel="0" collapsed="false">
      <c r="A1" s="2" t="s">
        <v>0</v>
      </c>
      <c r="B1" s="2"/>
      <c r="C1" s="2"/>
      <c r="D1" s="2"/>
      <c r="E1" s="2"/>
      <c r="F1" s="2"/>
    </row>
    <row r="2" customFormat="false" ht="15" hidden="false" customHeight="true" outlineLevel="0" collapsed="false">
      <c r="A2" s="3" t="s">
        <v>1</v>
      </c>
      <c r="B2" s="3"/>
      <c r="C2" s="3"/>
      <c r="D2" s="3"/>
      <c r="E2" s="3"/>
      <c r="F2" s="3"/>
    </row>
    <row r="5" customFormat="false" ht="45" hidden="false" customHeight="true" outlineLevel="0" collapsed="false">
      <c r="A5" s="4" t="s">
        <v>2</v>
      </c>
      <c r="B5" s="5" t="s">
        <v>3</v>
      </c>
      <c r="C5" s="5"/>
      <c r="D5" s="5"/>
      <c r="E5" s="5"/>
      <c r="F5" s="5"/>
    </row>
    <row r="7" customFormat="false" ht="30" hidden="false" customHeight="true" outlineLevel="0" collapsed="false">
      <c r="A7" s="4" t="s">
        <v>4</v>
      </c>
      <c r="B7" s="5" t="s">
        <v>5</v>
      </c>
      <c r="C7" s="5"/>
      <c r="D7" s="5"/>
      <c r="E7" s="5"/>
      <c r="F7" s="5"/>
    </row>
    <row r="9" customFormat="false" ht="45" hidden="false" customHeight="true" outlineLevel="0" collapsed="false">
      <c r="A9" s="4" t="s">
        <v>6</v>
      </c>
      <c r="B9" s="5" t="s">
        <v>7</v>
      </c>
      <c r="C9" s="5"/>
      <c r="D9" s="5"/>
      <c r="E9" s="5"/>
      <c r="F9" s="5"/>
    </row>
    <row r="11" customFormat="false" ht="90" hidden="false" customHeight="true" outlineLevel="0" collapsed="false">
      <c r="A11" s="4" t="s">
        <v>8</v>
      </c>
      <c r="B11" s="5" t="s">
        <v>9</v>
      </c>
      <c r="C11" s="5"/>
      <c r="D11" s="5"/>
      <c r="E11" s="5"/>
      <c r="F11" s="5"/>
    </row>
    <row r="13" customFormat="false" ht="105" hidden="false" customHeight="true" outlineLevel="0" collapsed="false">
      <c r="A13" s="4" t="s">
        <v>10</v>
      </c>
      <c r="B13" s="5" t="s">
        <v>11</v>
      </c>
      <c r="C13" s="5"/>
      <c r="D13" s="5"/>
      <c r="E13" s="5"/>
      <c r="F13" s="5"/>
    </row>
    <row r="15" customFormat="false" ht="105" hidden="false" customHeight="true" outlineLevel="0" collapsed="false">
      <c r="A15" s="4" t="s">
        <v>12</v>
      </c>
      <c r="B15" s="5" t="s">
        <v>13</v>
      </c>
      <c r="C15" s="5"/>
      <c r="D15" s="5"/>
      <c r="E15" s="5"/>
      <c r="F15" s="5"/>
    </row>
    <row r="17" customFormat="false" ht="30" hidden="false" customHeight="true" outlineLevel="0" collapsed="false">
      <c r="A17" s="4" t="s">
        <v>14</v>
      </c>
      <c r="B17" s="5" t="s">
        <v>15</v>
      </c>
      <c r="C17" s="5"/>
      <c r="D17" s="5"/>
      <c r="E17" s="5"/>
      <c r="F17" s="5"/>
    </row>
    <row r="19" customFormat="false" ht="15" hidden="false" customHeight="false" outlineLevel="0" collapsed="false">
      <c r="A19" s="6" t="s">
        <v>16</v>
      </c>
    </row>
    <row r="20" customFormat="false" ht="135" hidden="false" customHeight="true" outlineLevel="0" collapsed="false">
      <c r="A20" s="7" t="s">
        <v>17</v>
      </c>
    </row>
  </sheetData>
  <mergeCells count="9">
    <mergeCell ref="A1:F1"/>
    <mergeCell ref="A2:F2"/>
    <mergeCell ref="B5:F5"/>
    <mergeCell ref="B7:F7"/>
    <mergeCell ref="B9:F9"/>
    <mergeCell ref="B11:F11"/>
    <mergeCell ref="B13:F13"/>
    <mergeCell ref="B15:F15"/>
    <mergeCell ref="B17:F17"/>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12"/>
    <col collapsed="false" customWidth="true" hidden="false" outlineLevel="0" max="3" min="3" style="1" width="16"/>
    <col collapsed="false" customWidth="true" hidden="false" outlineLevel="0" max="4" min="4" style="1" width="70"/>
  </cols>
  <sheetData>
    <row r="1" customFormat="false" ht="17.25" hidden="false" customHeight="true" outlineLevel="0" collapsed="false">
      <c r="A1" s="2" t="s">
        <v>18</v>
      </c>
      <c r="B1" s="2"/>
      <c r="C1" s="2"/>
      <c r="D1" s="2"/>
    </row>
    <row r="2" customFormat="false" ht="15" hidden="false" customHeight="true" outlineLevel="0" collapsed="false">
      <c r="A2" s="3" t="s">
        <v>19</v>
      </c>
      <c r="B2" s="3"/>
      <c r="C2" s="3"/>
      <c r="D2" s="3"/>
    </row>
    <row r="3" customFormat="false" ht="15" hidden="false" customHeight="true" outlineLevel="0" collapsed="false">
      <c r="A3" s="8" t="s">
        <v>20</v>
      </c>
      <c r="B3" s="8" t="s">
        <v>21</v>
      </c>
      <c r="C3" s="8" t="s">
        <v>22</v>
      </c>
      <c r="D3" s="8" t="s">
        <v>23</v>
      </c>
    </row>
    <row r="4" customFormat="false" ht="15" hidden="false" customHeight="true" outlineLevel="0" collapsed="false">
      <c r="A4" s="9" t="s">
        <v>24</v>
      </c>
      <c r="B4" s="9"/>
      <c r="C4" s="9"/>
      <c r="D4" s="9"/>
    </row>
    <row r="5" customFormat="false" ht="25.5" hidden="false" customHeight="true" outlineLevel="0" collapsed="false">
      <c r="A5" s="10" t="s">
        <v>25</v>
      </c>
      <c r="B5" s="11" t="n">
        <v>20</v>
      </c>
      <c r="C5" s="12" t="s">
        <v>26</v>
      </c>
      <c r="D5" s="13" t="s">
        <v>27</v>
      </c>
    </row>
    <row r="6" customFormat="false" ht="25.5" hidden="false" customHeight="true" outlineLevel="0" collapsed="false">
      <c r="A6" s="10" t="s">
        <v>28</v>
      </c>
      <c r="B6" s="11" t="n">
        <v>2</v>
      </c>
      <c r="C6" s="12" t="s">
        <v>29</v>
      </c>
      <c r="D6" s="13" t="s">
        <v>30</v>
      </c>
    </row>
    <row r="7" customFormat="false" ht="25.5" hidden="false" customHeight="true" outlineLevel="0" collapsed="false">
      <c r="A7" s="10" t="s">
        <v>31</v>
      </c>
      <c r="B7" s="11" t="n">
        <v>1.3</v>
      </c>
      <c r="C7" s="12" t="s">
        <v>32</v>
      </c>
      <c r="D7" s="13" t="s">
        <v>33</v>
      </c>
    </row>
    <row r="9" customFormat="false" ht="15" hidden="false" customHeight="true" outlineLevel="0" collapsed="false">
      <c r="A9" s="9" t="s">
        <v>34</v>
      </c>
      <c r="B9" s="9"/>
      <c r="C9" s="9"/>
      <c r="D9" s="9"/>
    </row>
    <row r="10" customFormat="false" ht="25.5" hidden="false" customHeight="true" outlineLevel="0" collapsed="false">
      <c r="A10" s="10" t="s">
        <v>35</v>
      </c>
      <c r="B10" s="11" t="n">
        <v>4000</v>
      </c>
      <c r="C10" s="12" t="s">
        <v>36</v>
      </c>
      <c r="D10" s="13" t="s">
        <v>37</v>
      </c>
    </row>
    <row r="11" customFormat="false" ht="25.5" hidden="false" customHeight="true" outlineLevel="0" collapsed="false">
      <c r="A11" s="10" t="s">
        <v>38</v>
      </c>
      <c r="B11" s="11" t="n">
        <v>1200</v>
      </c>
      <c r="C11" s="12" t="s">
        <v>36</v>
      </c>
      <c r="D11" s="13" t="s">
        <v>39</v>
      </c>
    </row>
    <row r="12" customFormat="false" ht="25.5" hidden="false" customHeight="true" outlineLevel="0" collapsed="false">
      <c r="A12" s="10" t="s">
        <v>40</v>
      </c>
      <c r="B12" s="11" t="n">
        <v>900</v>
      </c>
      <c r="C12" s="12" t="s">
        <v>36</v>
      </c>
      <c r="D12" s="13" t="s">
        <v>41</v>
      </c>
    </row>
    <row r="13" customFormat="false" ht="25.5" hidden="false" customHeight="true" outlineLevel="0" collapsed="false">
      <c r="A13" s="10" t="s">
        <v>42</v>
      </c>
      <c r="B13" s="11" t="n">
        <v>1500</v>
      </c>
      <c r="C13" s="12" t="s">
        <v>36</v>
      </c>
      <c r="D13" s="13" t="s">
        <v>43</v>
      </c>
    </row>
    <row r="14" customFormat="false" ht="25.5" hidden="false" customHeight="true" outlineLevel="0" collapsed="false">
      <c r="A14" s="10" t="s">
        <v>44</v>
      </c>
      <c r="B14" s="11" t="n">
        <v>4000</v>
      </c>
      <c r="C14" s="12" t="s">
        <v>36</v>
      </c>
      <c r="D14" s="13" t="s">
        <v>45</v>
      </c>
    </row>
    <row r="15" customFormat="false" ht="25.5" hidden="false" customHeight="true" outlineLevel="0" collapsed="false">
      <c r="A15" s="10" t="s">
        <v>46</v>
      </c>
      <c r="B15" s="11" t="n">
        <v>200</v>
      </c>
      <c r="C15" s="12" t="s">
        <v>36</v>
      </c>
      <c r="D15" s="13" t="s">
        <v>47</v>
      </c>
    </row>
    <row r="17" customFormat="false" ht="15" hidden="false" customHeight="true" outlineLevel="0" collapsed="false">
      <c r="A17" s="9" t="s">
        <v>48</v>
      </c>
      <c r="B17" s="9"/>
      <c r="C17" s="9"/>
      <c r="D17" s="9"/>
    </row>
    <row r="18" customFormat="false" ht="25.5" hidden="false" customHeight="true" outlineLevel="0" collapsed="false">
      <c r="A18" s="10" t="s">
        <v>49</v>
      </c>
      <c r="B18" s="11" t="n">
        <v>2</v>
      </c>
      <c r="C18" s="12" t="s">
        <v>50</v>
      </c>
      <c r="D18" s="13" t="s">
        <v>51</v>
      </c>
    </row>
    <row r="19" customFormat="false" ht="25.5" hidden="false" customHeight="true" outlineLevel="0" collapsed="false">
      <c r="A19" s="10" t="s">
        <v>52</v>
      </c>
      <c r="B19" s="11" t="n">
        <v>10</v>
      </c>
      <c r="C19" s="12" t="s">
        <v>50</v>
      </c>
      <c r="D19" s="13" t="s">
        <v>53</v>
      </c>
    </row>
    <row r="20" customFormat="false" ht="25.5" hidden="false" customHeight="true" outlineLevel="0" collapsed="false">
      <c r="A20" s="10" t="s">
        <v>54</v>
      </c>
      <c r="B20" s="14" t="n">
        <v>0.1</v>
      </c>
      <c r="C20" s="12" t="s">
        <v>55</v>
      </c>
      <c r="D20" s="13" t="s">
        <v>56</v>
      </c>
    </row>
    <row r="22" customFormat="false" ht="15" hidden="false" customHeight="true" outlineLevel="0" collapsed="false">
      <c r="A22" s="9" t="s">
        <v>57</v>
      </c>
      <c r="B22" s="9"/>
      <c r="C22" s="9"/>
      <c r="D22" s="9"/>
    </row>
    <row r="23" customFormat="false" ht="25.5" hidden="false" customHeight="true" outlineLevel="0" collapsed="false">
      <c r="A23" s="10" t="s">
        <v>58</v>
      </c>
      <c r="B23" s="11" t="n">
        <v>5</v>
      </c>
      <c r="C23" s="12" t="s">
        <v>50</v>
      </c>
      <c r="D23" s="13" t="s">
        <v>59</v>
      </c>
    </row>
    <row r="24" customFormat="false" ht="25.5" hidden="false" customHeight="true" outlineLevel="0" collapsed="false">
      <c r="A24" s="10" t="s">
        <v>60</v>
      </c>
      <c r="B24" s="11" t="n">
        <v>25</v>
      </c>
      <c r="C24" s="12" t="s">
        <v>50</v>
      </c>
      <c r="D24" s="13" t="s">
        <v>53</v>
      </c>
    </row>
    <row r="26" customFormat="false" ht="15" hidden="false" customHeight="true" outlineLevel="0" collapsed="false">
      <c r="A26" s="9" t="s">
        <v>61</v>
      </c>
      <c r="B26" s="9"/>
      <c r="C26" s="9"/>
      <c r="D26" s="9"/>
    </row>
    <row r="27" customFormat="false" ht="25.5" hidden="false" customHeight="true" outlineLevel="0" collapsed="false">
      <c r="A27" s="10" t="s">
        <v>62</v>
      </c>
      <c r="B27" s="11" t="n">
        <v>800000</v>
      </c>
      <c r="C27" s="12" t="s">
        <v>36</v>
      </c>
      <c r="D27" s="13" t="s">
        <v>63</v>
      </c>
    </row>
    <row r="28" customFormat="false" ht="25.5" hidden="false" customHeight="true" outlineLevel="0" collapsed="false">
      <c r="A28" s="10" t="s">
        <v>64</v>
      </c>
      <c r="B28" s="11" t="n">
        <v>3000000</v>
      </c>
      <c r="C28" s="12" t="s">
        <v>36</v>
      </c>
      <c r="D28" s="13" t="s">
        <v>65</v>
      </c>
    </row>
    <row r="29" customFormat="false" ht="25.5" hidden="false" customHeight="true" outlineLevel="0" collapsed="false">
      <c r="A29" s="10" t="s">
        <v>66</v>
      </c>
      <c r="B29" s="11" t="n">
        <v>150000</v>
      </c>
      <c r="C29" s="12" t="s">
        <v>36</v>
      </c>
      <c r="D29" s="13" t="s">
        <v>67</v>
      </c>
    </row>
    <row r="30" customFormat="false" ht="25.5" hidden="false" customHeight="true" outlineLevel="0" collapsed="false">
      <c r="A30" s="10" t="s">
        <v>68</v>
      </c>
      <c r="B30" s="11" t="n">
        <v>400000</v>
      </c>
      <c r="C30" s="12" t="s">
        <v>36</v>
      </c>
      <c r="D30" s="13" t="s">
        <v>69</v>
      </c>
    </row>
    <row r="31" customFormat="false" ht="25.5" hidden="false" customHeight="true" outlineLevel="0" collapsed="false">
      <c r="A31" s="10" t="s">
        <v>70</v>
      </c>
      <c r="B31" s="11" t="n">
        <v>150000</v>
      </c>
      <c r="C31" s="12" t="s">
        <v>36</v>
      </c>
      <c r="D31" s="13" t="s">
        <v>71</v>
      </c>
    </row>
    <row r="32" customFormat="false" ht="25.5" hidden="false" customHeight="true" outlineLevel="0" collapsed="false">
      <c r="A32" s="10" t="s">
        <v>72</v>
      </c>
      <c r="B32" s="11" t="n">
        <v>500000</v>
      </c>
      <c r="C32" s="12" t="s">
        <v>36</v>
      </c>
      <c r="D32" s="13" t="s">
        <v>73</v>
      </c>
    </row>
    <row r="33" customFormat="false" ht="25.5" hidden="false" customHeight="true" outlineLevel="0" collapsed="false">
      <c r="A33" s="10" t="s">
        <v>74</v>
      </c>
      <c r="B33" s="11" t="n">
        <v>15000</v>
      </c>
      <c r="C33" s="12" t="s">
        <v>36</v>
      </c>
      <c r="D33" s="13" t="s">
        <v>75</v>
      </c>
    </row>
    <row r="34" customFormat="false" ht="25.5" hidden="false" customHeight="true" outlineLevel="0" collapsed="false">
      <c r="A34" s="10" t="s">
        <v>76</v>
      </c>
      <c r="B34" s="11" t="n">
        <v>50000</v>
      </c>
      <c r="C34" s="12" t="s">
        <v>36</v>
      </c>
      <c r="D34" s="13" t="s">
        <v>69</v>
      </c>
    </row>
    <row r="36" customFormat="false" ht="15" hidden="false" customHeight="true" outlineLevel="0" collapsed="false">
      <c r="A36" s="9" t="s">
        <v>77</v>
      </c>
      <c r="B36" s="9"/>
      <c r="C36" s="9"/>
      <c r="D36" s="9"/>
    </row>
    <row r="37" customFormat="false" ht="25.5" hidden="false" customHeight="true" outlineLevel="0" collapsed="false">
      <c r="A37" s="10" t="s">
        <v>78</v>
      </c>
      <c r="B37" s="14" t="n">
        <v>0.5</v>
      </c>
      <c r="C37" s="12" t="s">
        <v>79</v>
      </c>
      <c r="D37" s="13" t="s">
        <v>80</v>
      </c>
    </row>
    <row r="38" customFormat="false" ht="25.5" hidden="false" customHeight="true" outlineLevel="0" collapsed="false">
      <c r="A38" s="10" t="s">
        <v>81</v>
      </c>
      <c r="B38" s="14" t="n">
        <v>0.08</v>
      </c>
      <c r="C38" s="12" t="s">
        <v>82</v>
      </c>
      <c r="D38" s="13" t="s">
        <v>83</v>
      </c>
    </row>
    <row r="39" customFormat="false" ht="25.5" hidden="false" customHeight="true" outlineLevel="0" collapsed="false">
      <c r="A39" s="10" t="s">
        <v>84</v>
      </c>
      <c r="B39" s="14" t="n">
        <v>0.027</v>
      </c>
      <c r="C39" s="12" t="s">
        <v>82</v>
      </c>
      <c r="D39" s="13" t="s">
        <v>85</v>
      </c>
    </row>
    <row r="41" customFormat="false" ht="15" hidden="false" customHeight="true" outlineLevel="0" collapsed="false">
      <c r="A41" s="9" t="s">
        <v>86</v>
      </c>
      <c r="B41" s="9"/>
      <c r="C41" s="9"/>
      <c r="D41" s="9"/>
    </row>
    <row r="42" customFormat="false" ht="25.5" hidden="false" customHeight="true" outlineLevel="0" collapsed="false">
      <c r="A42" s="10" t="s">
        <v>87</v>
      </c>
      <c r="B42" s="11" t="n">
        <v>250</v>
      </c>
      <c r="C42" s="12" t="s">
        <v>88</v>
      </c>
      <c r="D42" s="13" t="s">
        <v>89</v>
      </c>
    </row>
    <row r="43" customFormat="false" ht="25.5" hidden="false" customHeight="true" outlineLevel="0" collapsed="false">
      <c r="A43" s="10" t="s">
        <v>90</v>
      </c>
      <c r="B43" s="11" t="n">
        <v>1500</v>
      </c>
      <c r="C43" s="12" t="s">
        <v>88</v>
      </c>
      <c r="D43" s="13" t="s">
        <v>91</v>
      </c>
    </row>
    <row r="44" customFormat="false" ht="25.5" hidden="false" customHeight="true" outlineLevel="0" collapsed="false">
      <c r="A44" s="10" t="s">
        <v>92</v>
      </c>
      <c r="B44" s="11" t="n">
        <v>10000</v>
      </c>
      <c r="C44" s="12" t="s">
        <v>88</v>
      </c>
      <c r="D44" s="13" t="s">
        <v>93</v>
      </c>
    </row>
    <row r="46" customFormat="false" ht="15" hidden="false" customHeight="true" outlineLevel="0" collapsed="false">
      <c r="A46" s="9" t="s">
        <v>94</v>
      </c>
      <c r="B46" s="9"/>
      <c r="C46" s="9"/>
      <c r="D46" s="9"/>
    </row>
    <row r="47" customFormat="false" ht="25.5" hidden="false" customHeight="true" outlineLevel="0" collapsed="false">
      <c r="A47" s="10" t="s">
        <v>95</v>
      </c>
      <c r="B47" s="11" t="n">
        <v>5</v>
      </c>
      <c r="C47" s="12" t="s">
        <v>96</v>
      </c>
      <c r="D47" s="13" t="s">
        <v>97</v>
      </c>
    </row>
    <row r="48" customFormat="false" ht="25.5" hidden="false" customHeight="true" outlineLevel="0" collapsed="false">
      <c r="A48" s="10" t="s">
        <v>98</v>
      </c>
      <c r="B48" s="11" t="n">
        <v>500</v>
      </c>
      <c r="C48" s="12" t="s">
        <v>99</v>
      </c>
      <c r="D48" s="13" t="s">
        <v>100</v>
      </c>
    </row>
    <row r="49" customFormat="false" ht="25.5" hidden="false" customHeight="true" outlineLevel="0" collapsed="false">
      <c r="A49" s="10" t="s">
        <v>101</v>
      </c>
      <c r="B49" s="11" t="n">
        <v>3500</v>
      </c>
      <c r="C49" s="12" t="s">
        <v>99</v>
      </c>
      <c r="D49" s="13" t="s">
        <v>102</v>
      </c>
    </row>
    <row r="51" customFormat="false" ht="15" hidden="false" customHeight="true" outlineLevel="0" collapsed="false">
      <c r="A51" s="9" t="s">
        <v>103</v>
      </c>
      <c r="B51" s="9"/>
      <c r="C51" s="9"/>
      <c r="D51" s="9"/>
    </row>
    <row r="52" customFormat="false" ht="25.5" hidden="false" customHeight="true" outlineLevel="0" collapsed="false">
      <c r="A52" s="10" t="s">
        <v>104</v>
      </c>
      <c r="B52" s="11" t="n">
        <v>50</v>
      </c>
      <c r="C52" s="12" t="s">
        <v>105</v>
      </c>
      <c r="D52" s="13" t="s">
        <v>106</v>
      </c>
    </row>
    <row r="53" customFormat="false" ht="25.5" hidden="false" customHeight="true" outlineLevel="0" collapsed="false">
      <c r="A53" s="10" t="s">
        <v>107</v>
      </c>
      <c r="B53" s="11" t="n">
        <v>250</v>
      </c>
      <c r="C53" s="12" t="s">
        <v>105</v>
      </c>
      <c r="D53" s="13" t="s">
        <v>108</v>
      </c>
    </row>
    <row r="54" customFormat="false" ht="25.5" hidden="false" customHeight="true" outlineLevel="0" collapsed="false">
      <c r="A54" s="10" t="s">
        <v>109</v>
      </c>
      <c r="B54" s="11" t="n">
        <v>1000</v>
      </c>
      <c r="C54" s="12" t="s">
        <v>105</v>
      </c>
      <c r="D54" s="13" t="s">
        <v>108</v>
      </c>
    </row>
    <row r="56" customFormat="false" ht="15" hidden="false" customHeight="true" outlineLevel="0" collapsed="false">
      <c r="A56" s="9" t="s">
        <v>110</v>
      </c>
      <c r="B56" s="9"/>
      <c r="C56" s="9"/>
      <c r="D56" s="9"/>
    </row>
    <row r="57" customFormat="false" ht="25.5" hidden="false" customHeight="true" outlineLevel="0" collapsed="false">
      <c r="A57" s="10" t="s">
        <v>111</v>
      </c>
      <c r="B57" s="11" t="n">
        <v>40</v>
      </c>
      <c r="C57" s="12" t="s">
        <v>29</v>
      </c>
      <c r="D57" s="13" t="s">
        <v>112</v>
      </c>
    </row>
    <row r="58" customFormat="false" ht="25.5" hidden="false" customHeight="true" outlineLevel="0" collapsed="false">
      <c r="A58" s="10" t="s">
        <v>113</v>
      </c>
      <c r="B58" s="11" t="n">
        <v>80</v>
      </c>
      <c r="C58" s="12" t="s">
        <v>29</v>
      </c>
      <c r="D58" s="13" t="s">
        <v>69</v>
      </c>
    </row>
    <row r="59" customFormat="false" ht="25.5" hidden="false" customHeight="true" outlineLevel="0" collapsed="false">
      <c r="A59" s="10" t="s">
        <v>114</v>
      </c>
      <c r="B59" s="11" t="n">
        <v>60</v>
      </c>
      <c r="C59" s="12" t="s">
        <v>29</v>
      </c>
      <c r="D59" s="13" t="s">
        <v>115</v>
      </c>
    </row>
    <row r="60" customFormat="false" ht="25.5" hidden="false" customHeight="true" outlineLevel="0" collapsed="false">
      <c r="A60" s="10" t="s">
        <v>116</v>
      </c>
      <c r="B60" s="11" t="n">
        <v>125</v>
      </c>
      <c r="C60" s="12" t="s">
        <v>117</v>
      </c>
      <c r="D60" s="13" t="s">
        <v>118</v>
      </c>
    </row>
    <row r="61" customFormat="false" ht="25.5" hidden="false" customHeight="true" outlineLevel="0" collapsed="false">
      <c r="A61" s="10" t="s">
        <v>119</v>
      </c>
      <c r="B61" s="11" t="n">
        <v>200</v>
      </c>
      <c r="C61" s="12" t="s">
        <v>117</v>
      </c>
      <c r="D61" s="13" t="s">
        <v>120</v>
      </c>
    </row>
    <row r="62" customFormat="false" ht="25.5" hidden="false" customHeight="true" outlineLevel="0" collapsed="false">
      <c r="A62" s="10" t="s">
        <v>121</v>
      </c>
      <c r="B62" s="11" t="n">
        <v>10000000</v>
      </c>
      <c r="C62" s="12" t="s">
        <v>36</v>
      </c>
      <c r="D62" s="13" t="s">
        <v>122</v>
      </c>
    </row>
    <row r="63" customFormat="false" ht="25.5" hidden="false" customHeight="true" outlineLevel="0" collapsed="false">
      <c r="A63" s="10" t="s">
        <v>123</v>
      </c>
      <c r="B63" s="11" t="n">
        <v>40000000</v>
      </c>
      <c r="C63" s="12" t="s">
        <v>36</v>
      </c>
      <c r="D63" s="13" t="s">
        <v>124</v>
      </c>
    </row>
    <row r="64" customFormat="false" ht="25.5" hidden="false" customHeight="true" outlineLevel="0" collapsed="false">
      <c r="A64" s="10" t="s">
        <v>125</v>
      </c>
      <c r="B64" s="11" t="n">
        <v>1000000</v>
      </c>
      <c r="C64" s="12" t="s">
        <v>36</v>
      </c>
      <c r="D64" s="13" t="s">
        <v>126</v>
      </c>
    </row>
    <row r="65" customFormat="false" ht="25.5" hidden="false" customHeight="true" outlineLevel="0" collapsed="false">
      <c r="A65" s="10" t="s">
        <v>127</v>
      </c>
      <c r="B65" s="11" t="n">
        <v>3000000</v>
      </c>
      <c r="C65" s="12" t="s">
        <v>36</v>
      </c>
      <c r="D65" s="13" t="s">
        <v>69</v>
      </c>
    </row>
    <row r="66" customFormat="false" ht="25.5" hidden="false" customHeight="true" outlineLevel="0" collapsed="false">
      <c r="A66" s="10" t="s">
        <v>128</v>
      </c>
      <c r="B66" s="11" t="n">
        <v>60</v>
      </c>
      <c r="C66" s="12" t="s">
        <v>29</v>
      </c>
      <c r="D66" s="13" t="s">
        <v>129</v>
      </c>
    </row>
    <row r="67" customFormat="false" ht="25.5" hidden="false" customHeight="true" outlineLevel="0" collapsed="false">
      <c r="A67" s="10" t="s">
        <v>130</v>
      </c>
      <c r="B67" s="11" t="n">
        <v>150</v>
      </c>
      <c r="C67" s="12" t="s">
        <v>29</v>
      </c>
      <c r="D67" s="13" t="s">
        <v>69</v>
      </c>
    </row>
    <row r="69" customFormat="false" ht="15" hidden="false" customHeight="true" outlineLevel="0" collapsed="false">
      <c r="A69" s="9" t="s">
        <v>131</v>
      </c>
      <c r="B69" s="9"/>
      <c r="C69" s="9"/>
      <c r="D69" s="9"/>
    </row>
    <row r="70" customFormat="false" ht="25.5" hidden="false" customHeight="true" outlineLevel="0" collapsed="false">
      <c r="A70" s="10" t="s">
        <v>132</v>
      </c>
      <c r="B70" s="11" t="n">
        <v>100</v>
      </c>
      <c r="C70" s="12" t="s">
        <v>133</v>
      </c>
      <c r="D70" s="13" t="s">
        <v>134</v>
      </c>
    </row>
    <row r="71" customFormat="false" ht="25.5" hidden="false" customHeight="true" outlineLevel="0" collapsed="false">
      <c r="A71" s="10" t="s">
        <v>135</v>
      </c>
      <c r="B71" s="11" t="n">
        <v>500</v>
      </c>
      <c r="C71" s="12" t="s">
        <v>133</v>
      </c>
      <c r="D71" s="13" t="s">
        <v>69</v>
      </c>
    </row>
    <row r="73" customFormat="false" ht="15" hidden="false" customHeight="true" outlineLevel="0" collapsed="false">
      <c r="A73" s="9" t="s">
        <v>136</v>
      </c>
      <c r="B73" s="9"/>
      <c r="C73" s="9"/>
      <c r="D73" s="9"/>
    </row>
    <row r="74" customFormat="false" ht="25.5" hidden="false" customHeight="true" outlineLevel="0" collapsed="false">
      <c r="A74" s="10" t="s">
        <v>137</v>
      </c>
      <c r="B74" s="14" t="n">
        <v>0.075</v>
      </c>
      <c r="C74" s="12" t="s">
        <v>138</v>
      </c>
      <c r="D74" s="13" t="s">
        <v>139</v>
      </c>
    </row>
    <row r="75" customFormat="false" ht="25.5" hidden="false" customHeight="true" outlineLevel="0" collapsed="false">
      <c r="A75" s="10" t="s">
        <v>140</v>
      </c>
      <c r="B75" s="11" t="n">
        <v>1500</v>
      </c>
      <c r="C75" s="12" t="s">
        <v>141</v>
      </c>
      <c r="D75" s="13" t="s">
        <v>142</v>
      </c>
    </row>
  </sheetData>
  <mergeCells count="14">
    <mergeCell ref="A1:D1"/>
    <mergeCell ref="A2:D2"/>
    <mergeCell ref="A4:D4"/>
    <mergeCell ref="A9:D9"/>
    <mergeCell ref="A17:D17"/>
    <mergeCell ref="A22:D22"/>
    <mergeCell ref="A26:D26"/>
    <mergeCell ref="A36:D36"/>
    <mergeCell ref="A41:D41"/>
    <mergeCell ref="A46:D46"/>
    <mergeCell ref="A51:D51"/>
    <mergeCell ref="A56:D56"/>
    <mergeCell ref="A69:D69"/>
    <mergeCell ref="A73:D73"/>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3" min="2" style="1" width="34"/>
  </cols>
  <sheetData>
    <row r="1" customFormat="false" ht="17.25" hidden="false" customHeight="true" outlineLevel="0" collapsed="false">
      <c r="A1" s="2" t="s">
        <v>143</v>
      </c>
      <c r="B1" s="2"/>
      <c r="C1" s="2"/>
    </row>
    <row r="2" customFormat="false" ht="15" hidden="false" customHeight="true" outlineLevel="0" collapsed="false">
      <c r="A2" s="3" t="s">
        <v>144</v>
      </c>
      <c r="B2" s="3"/>
      <c r="C2" s="3"/>
    </row>
    <row r="4" customFormat="false" ht="26.25" hidden="false" customHeight="true" outlineLevel="0" collapsed="false">
      <c r="A4" s="15" t="s">
        <v>145</v>
      </c>
      <c r="B4" s="15" t="s">
        <v>146</v>
      </c>
      <c r="C4" s="15" t="s">
        <v>147</v>
      </c>
    </row>
    <row r="5" customFormat="false" ht="15" hidden="false" customHeight="true" outlineLevel="0" collapsed="false">
      <c r="A5" s="9" t="s">
        <v>148</v>
      </c>
      <c r="B5" s="9"/>
      <c r="C5" s="9"/>
    </row>
    <row r="6" customFormat="false" ht="15" hidden="false" customHeight="true" outlineLevel="0" collapsed="false">
      <c r="A6" s="10" t="s">
        <v>149</v>
      </c>
      <c r="B6" s="16" t="n">
        <f aca="false">Assumptions!$B$5*Assumptions!$B$6</f>
        <v>40</v>
      </c>
      <c r="C6" s="16" t="n">
        <f aca="false">Assumptions!$B$5*Assumptions!$B$6</f>
        <v>40</v>
      </c>
    </row>
    <row r="7" customFormat="false" ht="15" hidden="false" customHeight="true" outlineLevel="0" collapsed="false">
      <c r="A7" s="10" t="s">
        <v>150</v>
      </c>
      <c r="B7" s="16" t="n">
        <f aca="false">Assumptions!$B$10+Assumptions!$B$11+Assumptions!$B$13</f>
        <v>6700</v>
      </c>
      <c r="C7" s="16" t="n">
        <f aca="false">Assumptions!$B$10+Assumptions!$B$11+Assumptions!$B$13</f>
        <v>6700</v>
      </c>
    </row>
    <row r="8" customFormat="false" ht="15" hidden="false" customHeight="true" outlineLevel="0" collapsed="false">
      <c r="A8" s="10" t="s">
        <v>151</v>
      </c>
      <c r="B8" s="16" t="n">
        <f aca="false">Assumptions!$B$12+Assumptions!$B$14</f>
        <v>4900</v>
      </c>
      <c r="C8" s="16" t="n">
        <f aca="false">Assumptions!$B$12+Assumptions!$B$14</f>
        <v>4900</v>
      </c>
    </row>
    <row r="9" customFormat="false" ht="15" hidden="false" customHeight="true" outlineLevel="0" collapsed="false">
      <c r="A9" s="10" t="s">
        <v>152</v>
      </c>
      <c r="B9" s="16" t="n">
        <f aca="false">B7*Assumptions!$B$20+B8</f>
        <v>5570</v>
      </c>
      <c r="C9" s="16" t="n">
        <f aca="false">C7+C8</f>
        <v>11600</v>
      </c>
    </row>
    <row r="10" customFormat="false" ht="15" hidden="false" customHeight="true" outlineLevel="0" collapsed="false">
      <c r="A10" s="10" t="s">
        <v>153</v>
      </c>
      <c r="B10" s="17" t="n">
        <f aca="false">B9/1000000*Assumptions!$B$18</f>
        <v>0.01114</v>
      </c>
      <c r="C10" s="17" t="n">
        <f aca="false">C9/1000000*Assumptions!$B$18</f>
        <v>0.0232</v>
      </c>
    </row>
    <row r="11" customFormat="false" ht="15" hidden="false" customHeight="true" outlineLevel="0" collapsed="false">
      <c r="A11" s="10" t="s">
        <v>154</v>
      </c>
      <c r="B11" s="17" t="n">
        <f aca="false">Assumptions!$B$15/1000000*Assumptions!$B$19</f>
        <v>0.002</v>
      </c>
      <c r="C11" s="17" t="n">
        <f aca="false">Assumptions!$B$15/1000000*Assumptions!$B$19</f>
        <v>0.002</v>
      </c>
    </row>
    <row r="12" customFormat="false" ht="15" hidden="false" customHeight="true" outlineLevel="0" collapsed="false">
      <c r="A12" s="10" t="s">
        <v>155</v>
      </c>
      <c r="B12" s="17" t="n">
        <f aca="false">(B10+B11)*Assumptions!$B$7</f>
        <v>0.017082</v>
      </c>
      <c r="C12" s="17" t="n">
        <f aca="false">(C10+C11)*Assumptions!$B$7</f>
        <v>0.03276</v>
      </c>
    </row>
    <row r="13" customFormat="false" ht="15" hidden="false" customHeight="true" outlineLevel="0" collapsed="false">
      <c r="A13" s="18" t="s">
        <v>156</v>
      </c>
      <c r="B13" s="19" t="n">
        <f aca="false">B12*B6</f>
        <v>0.68328</v>
      </c>
      <c r="C13" s="19" t="n">
        <f aca="false">C12*C6</f>
        <v>1.3104</v>
      </c>
    </row>
    <row r="15" customFormat="false" ht="15" hidden="false" customHeight="true" outlineLevel="0" collapsed="false">
      <c r="A15" s="9" t="s">
        <v>157</v>
      </c>
      <c r="B15" s="9"/>
      <c r="C15" s="9"/>
    </row>
    <row r="16" customFormat="false" ht="15" hidden="false" customHeight="true" outlineLevel="0" collapsed="false">
      <c r="A16" s="10" t="s">
        <v>158</v>
      </c>
      <c r="B16" s="16" t="n">
        <f aca="false">Assumptions!$B$37*Assumptions!$B$6*60</f>
        <v>60</v>
      </c>
      <c r="C16" s="16" t="n">
        <f aca="false">Assumptions!$B$37*Assumptions!$B$6*60</f>
        <v>60</v>
      </c>
    </row>
    <row r="17" customFormat="false" ht="15" hidden="false" customHeight="true" outlineLevel="0" collapsed="false">
      <c r="A17" s="18" t="s">
        <v>159</v>
      </c>
      <c r="B17" s="19" t="n">
        <f aca="false">B16*Assumptions!$B$39</f>
        <v>1.62</v>
      </c>
      <c r="C17" s="19" t="n">
        <f aca="false">C16*Assumptions!$B$38</f>
        <v>4.8</v>
      </c>
    </row>
    <row r="19" customFormat="false" ht="15" hidden="false" customHeight="true" outlineLevel="0" collapsed="false">
      <c r="A19" s="9" t="s">
        <v>160</v>
      </c>
      <c r="B19" s="9"/>
      <c r="C19" s="9"/>
    </row>
    <row r="20" customFormat="false" ht="15" hidden="false" customHeight="true" outlineLevel="0" collapsed="false">
      <c r="A20" s="18" t="s">
        <v>161</v>
      </c>
      <c r="B20" s="19" t="n">
        <f aca="false">B13+B17</f>
        <v>2.30328</v>
      </c>
      <c r="C20" s="19" t="n">
        <f aca="false">C13+C17</f>
        <v>6.1104</v>
      </c>
    </row>
    <row r="21" customFormat="false" ht="15" hidden="false" customHeight="true" outlineLevel="0" collapsed="false">
      <c r="A21" s="18" t="s">
        <v>162</v>
      </c>
      <c r="B21" s="19" t="n">
        <f aca="false">B20*12</f>
        <v>27.63936</v>
      </c>
      <c r="C21" s="19" t="n">
        <f aca="false">C20*12</f>
        <v>73.3248</v>
      </c>
    </row>
  </sheetData>
  <mergeCells count="5">
    <mergeCell ref="A1:C1"/>
    <mergeCell ref="A2:C2"/>
    <mergeCell ref="A5:C5"/>
    <mergeCell ref="A15:C15"/>
    <mergeCell ref="A19:C19"/>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3" min="2" style="1" width="16"/>
    <col collapsed="false" customWidth="true" hidden="false" outlineLevel="0" max="4" min="4" style="1" width="72"/>
  </cols>
  <sheetData>
    <row r="1" customFormat="false" ht="17.25" hidden="false" customHeight="true" outlineLevel="0" collapsed="false">
      <c r="A1" s="2" t="s">
        <v>163</v>
      </c>
      <c r="B1" s="2"/>
      <c r="C1" s="2"/>
      <c r="D1" s="2"/>
    </row>
    <row r="2" customFormat="false" ht="15" hidden="false" customHeight="true" outlineLevel="0" collapsed="false">
      <c r="A2" s="3" t="s">
        <v>164</v>
      </c>
      <c r="B2" s="3"/>
      <c r="C2" s="3"/>
      <c r="D2" s="3"/>
    </row>
    <row r="4" customFormat="false" ht="15" hidden="false" customHeight="true" outlineLevel="0" collapsed="false">
      <c r="A4" s="8" t="s">
        <v>165</v>
      </c>
      <c r="B4" s="8" t="s">
        <v>166</v>
      </c>
      <c r="C4" s="8" t="s">
        <v>167</v>
      </c>
      <c r="D4" s="8" t="s">
        <v>168</v>
      </c>
    </row>
    <row r="5" customFormat="false" ht="15" hidden="false" customHeight="true" outlineLevel="0" collapsed="false">
      <c r="A5" s="9" t="s">
        <v>169</v>
      </c>
      <c r="B5" s="9"/>
      <c r="C5" s="9"/>
      <c r="D5" s="9"/>
    </row>
    <row r="6" customFormat="false" ht="30" hidden="false" customHeight="true" outlineLevel="0" collapsed="false">
      <c r="A6" s="10" t="s">
        <v>170</v>
      </c>
      <c r="B6" s="20" t="n">
        <f aca="false">Assumptions!$B$27/1000000*Assumptions!$B$18+Assumptions!$B$29/1000000*Assumptions!$B$19</f>
        <v>3.1</v>
      </c>
      <c r="C6" s="20" t="n">
        <f aca="false">Assumptions!$B$28/1000000*Assumptions!$B$18+Assumptions!$B$30/1000000*Assumptions!$B$19</f>
        <v>10</v>
      </c>
      <c r="D6" s="13" t="s">
        <v>171</v>
      </c>
    </row>
    <row r="7" customFormat="false" ht="30" hidden="false" customHeight="true" outlineLevel="0" collapsed="false">
      <c r="A7" s="10" t="s">
        <v>172</v>
      </c>
      <c r="B7" s="20" t="n">
        <f aca="false">Assumptions!$B$31/1000000*Assumptions!$B$23+Assumptions!$B$33/1000000*Assumptions!$B$24</f>
        <v>1.125</v>
      </c>
      <c r="C7" s="20" t="n">
        <f aca="false">Assumptions!$B$32/1000000*Assumptions!$B$23+Assumptions!$B$34/1000000*Assumptions!$B$24</f>
        <v>3.75</v>
      </c>
      <c r="D7" s="13" t="s">
        <v>173</v>
      </c>
    </row>
    <row r="8" customFormat="false" ht="97.5" hidden="false" customHeight="true" outlineLevel="0" collapsed="false">
      <c r="A8" s="18" t="s">
        <v>174</v>
      </c>
      <c r="B8" s="19" t="n">
        <f aca="false">B6+B7</f>
        <v>4.225</v>
      </c>
      <c r="C8" s="19" t="n">
        <f aca="false">C6+C7</f>
        <v>13.75</v>
      </c>
      <c r="D8" s="13" t="s">
        <v>175</v>
      </c>
    </row>
    <row r="10" customFormat="false" ht="15" hidden="false" customHeight="true" outlineLevel="0" collapsed="false">
      <c r="A10" s="9" t="s">
        <v>176</v>
      </c>
      <c r="B10" s="9"/>
      <c r="C10" s="9"/>
      <c r="D10" s="9"/>
    </row>
    <row r="11" customFormat="false" ht="42" hidden="false" customHeight="true" outlineLevel="0" collapsed="false">
      <c r="A11" s="10" t="s">
        <v>177</v>
      </c>
      <c r="B11" s="21" t="n">
        <f aca="false">Assumptions!$B$48</f>
        <v>500</v>
      </c>
      <c r="C11" s="21" t="n">
        <f aca="false">Assumptions!$B$49</f>
        <v>3500</v>
      </c>
      <c r="D11" s="13" t="s">
        <v>178</v>
      </c>
    </row>
    <row r="13" customFormat="false" ht="15" hidden="false" customHeight="true" outlineLevel="0" collapsed="false">
      <c r="A13" s="9" t="s">
        <v>179</v>
      </c>
      <c r="B13" s="9"/>
      <c r="C13" s="9"/>
      <c r="D13" s="9"/>
    </row>
    <row r="14" customFormat="false" ht="30" hidden="false" customHeight="true" outlineLevel="0" collapsed="false">
      <c r="A14" s="10" t="s">
        <v>180</v>
      </c>
      <c r="B14" s="21" t="n">
        <f aca="false">Assumptions!$B$52*'Unit Economics'!$B$21</f>
        <v>1381.968</v>
      </c>
      <c r="C14" s="21" t="n">
        <f aca="false">Assumptions!$B$52*'Unit Economics'!$C$21</f>
        <v>3666.24</v>
      </c>
      <c r="D14" s="13" t="s">
        <v>106</v>
      </c>
    </row>
    <row r="15" customFormat="false" ht="30" hidden="false" customHeight="true" outlineLevel="0" collapsed="false">
      <c r="A15" s="10" t="s">
        <v>181</v>
      </c>
      <c r="B15" s="21" t="n">
        <f aca="false">Assumptions!$B$53*'Unit Economics'!$B$21</f>
        <v>6909.84</v>
      </c>
      <c r="C15" s="21" t="n">
        <f aca="false">Assumptions!$B$53*'Unit Economics'!$C$21</f>
        <v>18331.2</v>
      </c>
      <c r="D15" s="13" t="s">
        <v>182</v>
      </c>
    </row>
    <row r="16" customFormat="false" ht="30" hidden="false" customHeight="true" outlineLevel="0" collapsed="false">
      <c r="A16" s="10" t="s">
        <v>183</v>
      </c>
      <c r="B16" s="21" t="n">
        <f aca="false">Assumptions!$B$54*'Unit Economics'!$B$21</f>
        <v>27639.36</v>
      </c>
      <c r="C16" s="21" t="n">
        <f aca="false">Assumptions!$B$54*'Unit Economics'!$C$21</f>
        <v>73324.8</v>
      </c>
      <c r="D16" s="13" t="s">
        <v>108</v>
      </c>
    </row>
    <row r="18" customFormat="false" ht="15" hidden="false" customHeight="true" outlineLevel="0" collapsed="false">
      <c r="A18" s="9" t="s">
        <v>184</v>
      </c>
      <c r="B18" s="9"/>
      <c r="C18" s="9"/>
      <c r="D18" s="9"/>
    </row>
    <row r="19" customFormat="false" ht="55.5" hidden="false" customHeight="true" outlineLevel="0" collapsed="false">
      <c r="A19" s="18" t="s">
        <v>185</v>
      </c>
      <c r="B19" s="19" t="n">
        <f aca="false">B8+B11+B15</f>
        <v>7414.065</v>
      </c>
      <c r="C19" s="19" t="n">
        <f aca="false">C8+C11+C15</f>
        <v>21844.95</v>
      </c>
      <c r="D19" s="22" t="s">
        <v>186</v>
      </c>
    </row>
    <row r="21" customFormat="false" ht="15" hidden="false" customHeight="true" outlineLevel="0" collapsed="false">
      <c r="A21" s="23" t="s">
        <v>187</v>
      </c>
      <c r="B21" s="23"/>
      <c r="C21" s="23"/>
      <c r="D21" s="23"/>
    </row>
  </sheetData>
  <mergeCells count="7">
    <mergeCell ref="A1:D1"/>
    <mergeCell ref="A2:D2"/>
    <mergeCell ref="A5:D5"/>
    <mergeCell ref="A10:D10"/>
    <mergeCell ref="A13:D13"/>
    <mergeCell ref="A18:D18"/>
    <mergeCell ref="A21:D21"/>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8"/>
    <col collapsed="false" customWidth="true" hidden="false" outlineLevel="0" max="2" min="2" style="1" width="12"/>
    <col collapsed="false" customWidth="true" hidden="false" outlineLevel="0" max="4" min="3" style="1" width="20"/>
    <col collapsed="false" customWidth="true" hidden="false" outlineLevel="0" max="5" min="5" style="1" width="46"/>
  </cols>
  <sheetData>
    <row r="1" customFormat="false" ht="17.25" hidden="false" customHeight="true" outlineLevel="0" collapsed="false">
      <c r="A1" s="2" t="s">
        <v>0</v>
      </c>
      <c r="B1" s="2"/>
      <c r="C1" s="2"/>
      <c r="D1" s="2"/>
      <c r="E1" s="2"/>
    </row>
    <row r="2" customFormat="false" ht="15" hidden="false" customHeight="true" outlineLevel="0" collapsed="false">
      <c r="A2" s="3" t="s">
        <v>188</v>
      </c>
      <c r="B2" s="3"/>
      <c r="C2" s="3"/>
      <c r="D2" s="3"/>
      <c r="E2" s="3"/>
    </row>
    <row r="4" customFormat="false" ht="15" hidden="false" customHeight="true" outlineLevel="0" collapsed="false">
      <c r="A4" s="9" t="s">
        <v>189</v>
      </c>
      <c r="B4" s="9"/>
      <c r="C4" s="9"/>
      <c r="D4" s="9"/>
      <c r="E4" s="9"/>
    </row>
    <row r="5" customFormat="false" ht="15" hidden="false" customHeight="true" outlineLevel="0" collapsed="false">
      <c r="A5" s="8" t="s">
        <v>190</v>
      </c>
      <c r="B5" s="8" t="s">
        <v>191</v>
      </c>
      <c r="C5" s="8" t="s">
        <v>192</v>
      </c>
      <c r="D5" s="8" t="s">
        <v>193</v>
      </c>
      <c r="E5" s="8"/>
    </row>
    <row r="6" customFormat="false" ht="15" hidden="false" customHeight="true" outlineLevel="0" collapsed="false">
      <c r="A6" s="10" t="s">
        <v>87</v>
      </c>
      <c r="B6" s="16" t="n">
        <f aca="false">Assumptions!$B$42</f>
        <v>250</v>
      </c>
      <c r="C6" s="21" t="n">
        <f aca="false">B6*'Unit Economics'!$B$21</f>
        <v>6909.84</v>
      </c>
      <c r="D6" s="21" t="n">
        <f aca="false">B6*'Unit Economics'!$C$21</f>
        <v>18331.2</v>
      </c>
    </row>
    <row r="7" customFormat="false" ht="15" hidden="false" customHeight="true" outlineLevel="0" collapsed="false">
      <c r="A7" s="10" t="s">
        <v>90</v>
      </c>
      <c r="B7" s="16" t="n">
        <f aca="false">Assumptions!$B$43</f>
        <v>1500</v>
      </c>
      <c r="C7" s="21" t="n">
        <f aca="false">B7*'Unit Economics'!$B$21</f>
        <v>41459.04</v>
      </c>
      <c r="D7" s="21" t="n">
        <f aca="false">B7*'Unit Economics'!$C$21</f>
        <v>109987.2</v>
      </c>
    </row>
    <row r="8" customFormat="false" ht="15" hidden="false" customHeight="true" outlineLevel="0" collapsed="false">
      <c r="A8" s="10" t="s">
        <v>92</v>
      </c>
      <c r="B8" s="16" t="n">
        <f aca="false">Assumptions!$B$44</f>
        <v>10000</v>
      </c>
      <c r="C8" s="21" t="n">
        <f aca="false">B8*'Unit Economics'!$B$21</f>
        <v>276393.6</v>
      </c>
      <c r="D8" s="21" t="n">
        <f aca="false">B8*'Unit Economics'!$C$21</f>
        <v>733248</v>
      </c>
    </row>
    <row r="10" customFormat="false" ht="15" hidden="false" customHeight="true" outlineLevel="0" collapsed="false">
      <c r="A10" s="9" t="s">
        <v>194</v>
      </c>
      <c r="B10" s="9"/>
      <c r="C10" s="9"/>
      <c r="D10" s="9"/>
      <c r="E10" s="9"/>
    </row>
    <row r="11" customFormat="false" ht="15" hidden="false" customHeight="true" outlineLevel="0" collapsed="false">
      <c r="A11" s="8" t="s">
        <v>165</v>
      </c>
      <c r="B11" s="8" t="s">
        <v>195</v>
      </c>
      <c r="C11" s="8" t="s">
        <v>166</v>
      </c>
      <c r="D11" s="8" t="s">
        <v>167</v>
      </c>
      <c r="E11" s="8" t="s">
        <v>168</v>
      </c>
    </row>
    <row r="12" customFormat="false" ht="15" hidden="false" customHeight="true" outlineLevel="0" collapsed="false">
      <c r="A12" s="10" t="s">
        <v>196</v>
      </c>
      <c r="B12" s="12" t="s">
        <v>197</v>
      </c>
      <c r="C12" s="21" t="n">
        <f aca="false">Assumptions!$B$47*Assumptions!$B$48</f>
        <v>2500</v>
      </c>
      <c r="D12" s="21" t="n">
        <f aca="false">Assumptions!$B$47*Assumptions!$B$49</f>
        <v>17500</v>
      </c>
      <c r="E12" s="12" t="s">
        <v>198</v>
      </c>
    </row>
    <row r="13" customFormat="false" ht="15" hidden="false" customHeight="true" outlineLevel="0" collapsed="false">
      <c r="A13" s="10" t="s">
        <v>199</v>
      </c>
      <c r="B13" s="12" t="s">
        <v>197</v>
      </c>
      <c r="C13" s="21" t="n">
        <f aca="false">Assumptions!$B$57*Assumptions!$B$60</f>
        <v>5000</v>
      </c>
      <c r="D13" s="21" t="n">
        <f aca="false">Assumptions!$B$58*Assumptions!$B$61</f>
        <v>16000</v>
      </c>
      <c r="E13" s="12" t="s">
        <v>200</v>
      </c>
    </row>
    <row r="14" customFormat="false" ht="15" hidden="false" customHeight="true" outlineLevel="0" collapsed="false">
      <c r="A14" s="10" t="s">
        <v>114</v>
      </c>
      <c r="B14" s="12" t="s">
        <v>197</v>
      </c>
      <c r="C14" s="21" t="n">
        <f aca="false">Assumptions!$B$59*Assumptions!$B$60</f>
        <v>7500</v>
      </c>
      <c r="D14" s="21" t="n">
        <f aca="false">Assumptions!$B$59*Assumptions!$B$61</f>
        <v>12000</v>
      </c>
      <c r="E14" s="12" t="s">
        <v>201</v>
      </c>
    </row>
    <row r="15" customFormat="false" ht="15" hidden="false" customHeight="true" outlineLevel="0" collapsed="false">
      <c r="A15" s="10" t="s">
        <v>202</v>
      </c>
      <c r="B15" s="12" t="s">
        <v>197</v>
      </c>
      <c r="C15" s="21" t="n">
        <f aca="false">Assumptions!$B$62/1000000*Assumptions!$B$18+Assumptions!$B$64/1000000*Assumptions!$B$19</f>
        <v>30</v>
      </c>
      <c r="D15" s="21" t="n">
        <f aca="false">Assumptions!$B$63/1000000*Assumptions!$B$18+Assumptions!$B$65/1000000*Assumptions!$B$19</f>
        <v>110</v>
      </c>
      <c r="E15" s="12" t="s">
        <v>203</v>
      </c>
    </row>
    <row r="16" customFormat="false" ht="15" hidden="false" customHeight="true" outlineLevel="0" collapsed="false">
      <c r="A16" s="10" t="s">
        <v>204</v>
      </c>
      <c r="B16" s="12" t="s">
        <v>205</v>
      </c>
      <c r="C16" s="21" t="n">
        <f aca="false">Assumptions!$B$70*12</f>
        <v>1200</v>
      </c>
      <c r="D16" s="21" t="n">
        <f aca="false">Assumptions!$B$71*12</f>
        <v>6000</v>
      </c>
      <c r="E16" s="24" t="s">
        <v>206</v>
      </c>
    </row>
    <row r="17" customFormat="false" ht="15" hidden="false" customHeight="true" outlineLevel="0" collapsed="false">
      <c r="A17" s="18" t="s">
        <v>207</v>
      </c>
      <c r="B17" s="25"/>
      <c r="C17" s="26" t="n">
        <f aca="false">C12+C13+C14+C15+C16</f>
        <v>16230</v>
      </c>
      <c r="D17" s="26" t="n">
        <f aca="false">D12+D13+D14+D15+D16</f>
        <v>51610</v>
      </c>
    </row>
    <row r="18" customFormat="false" ht="15" hidden="false" customHeight="true" outlineLevel="0" collapsed="false">
      <c r="A18" s="12" t="s">
        <v>208</v>
      </c>
      <c r="B18" s="12" t="s">
        <v>209</v>
      </c>
      <c r="C18" s="21" t="n">
        <f aca="false">Assumptions!$B$66*Assumptions!$B$60</f>
        <v>7500</v>
      </c>
      <c r="D18" s="21" t="n">
        <f aca="false">Assumptions!$B$67*Assumptions!$B$61</f>
        <v>30000</v>
      </c>
      <c r="E18" s="12" t="s">
        <v>210</v>
      </c>
    </row>
    <row r="20" customFormat="false" ht="15" hidden="false" customHeight="true" outlineLevel="0" collapsed="false">
      <c r="A20" s="12" t="s">
        <v>211</v>
      </c>
    </row>
    <row r="21" customFormat="false" ht="15" hidden="false" customHeight="true" outlineLevel="0" collapsed="false">
      <c r="A21" s="12" t="s">
        <v>137</v>
      </c>
      <c r="C21" s="27" t="n">
        <f aca="false">Assumptions!$B$74</f>
        <v>0.075</v>
      </c>
      <c r="E21" s="12" t="s">
        <v>212</v>
      </c>
    </row>
    <row r="22" customFormat="false" ht="15" hidden="false" customHeight="true" outlineLevel="0" collapsed="false">
      <c r="A22" s="12" t="s">
        <v>213</v>
      </c>
      <c r="C22" s="21" t="n">
        <f aca="false">Assumptions!$B$75</f>
        <v>1500</v>
      </c>
    </row>
    <row r="24" customFormat="false" ht="15" hidden="false" customHeight="true" outlineLevel="0" collapsed="false">
      <c r="A24" s="9" t="s">
        <v>214</v>
      </c>
      <c r="B24" s="9"/>
      <c r="C24" s="9"/>
      <c r="D24" s="9"/>
      <c r="E24" s="9"/>
    </row>
    <row r="25" customFormat="false" ht="15" hidden="false" customHeight="true" outlineLevel="0" collapsed="false">
      <c r="A25" s="8" t="s">
        <v>215</v>
      </c>
      <c r="B25" s="8"/>
      <c r="C25" s="8" t="s">
        <v>216</v>
      </c>
      <c r="D25" s="8"/>
      <c r="E25" s="8" t="s">
        <v>168</v>
      </c>
    </row>
    <row r="26" customFormat="false" ht="15" hidden="false" customHeight="true" outlineLevel="0" collapsed="false">
      <c r="A26" s="10" t="s">
        <v>217</v>
      </c>
      <c r="C26" s="28" t="n">
        <f aca="false">C6+C17</f>
        <v>23139.84</v>
      </c>
    </row>
    <row r="27" customFormat="false" ht="15" hidden="false" customHeight="true" outlineLevel="0" collapsed="false">
      <c r="A27" s="18" t="s">
        <v>218</v>
      </c>
      <c r="B27" s="29"/>
      <c r="C27" s="26" t="n">
        <f aca="false">C7+(C17+D17)/2</f>
        <v>75379.04</v>
      </c>
      <c r="D27" s="29"/>
      <c r="E27" s="29"/>
    </row>
    <row r="28" customFormat="false" ht="15" hidden="false" customHeight="true" outlineLevel="0" collapsed="false">
      <c r="A28" s="10" t="s">
        <v>219</v>
      </c>
      <c r="C28" s="28" t="n">
        <f aca="false">D8+D17</f>
        <v>784858</v>
      </c>
    </row>
    <row r="30" customFormat="false" ht="15" hidden="false" customHeight="true" outlineLevel="0" collapsed="false">
      <c r="A30" s="23" t="s">
        <v>220</v>
      </c>
      <c r="B30" s="23"/>
      <c r="C30" s="23"/>
      <c r="D30" s="23"/>
      <c r="E30" s="23"/>
    </row>
  </sheetData>
  <mergeCells count="6">
    <mergeCell ref="A1:E1"/>
    <mergeCell ref="A2:E2"/>
    <mergeCell ref="A4:E4"/>
    <mergeCell ref="A10:E10"/>
    <mergeCell ref="A24:E24"/>
    <mergeCell ref="A30:E30"/>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2026-07-08T20:23:44Z</dcterms:created>
  <dc:creator/>
  <dc:description/>
  <dc:language>en-US</dc:language>
  <cp:lastModifiedBy/>
  <dcterms:modified xsi:type="dcterms:W3CDTF">2026-07-08T20:23:44Z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