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Growth-Readiness Increment" sheetId="3" state="visible" r:id="rId5"/>
    <sheet name="Proposals Compared" sheetId="4" state="visible" r:id="rId6"/>
  </sheets>
  <definedNames>
    <definedName function="false" hidden="false" localSheetId="1" name="_xlnm.Print_Titles" vbProcedure="false">Assumptions!$A:$A</definedName>
    <definedName function="false" hidden="false" localSheetId="2" name="_xlnm.Print_Titles" vbProcedure="false">'Growth-Readiness Increment'!$A:$A</definedName>
    <definedName function="false" hidden="false" localSheetId="3" name="_xlnm.Print_Titles" vbProcedure="false">'Proposals Compared'!$A:$A,'Proposals Compared'!$4:$5</definedName>
    <definedName function="false" hidden="false" localSheetId="3" name="_xlnm.Print_Titles" vbProcedure="false">'Proposals Compared'!$4:$5,'Proposals Compared'!$A:$A</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<sst xmlns="http://schemas.openxmlformats.org/spreadsheetml/2006/main" count="327" uniqueCount="219">
  <si>
    <t xml:space="preserve">The Church in Conversation — Build-Approach Budget Proposals</t>
  </si>
  <si>
    <t xml:space="preserve">Draft v0.1 · Built 2026-07-08 · For Mark's review, not yet final</t>
  </si>
  <si>
    <t xml:space="preserve">What this is</t>
  </si>
  <si>
    <t xml:space="preserve">Four budget proposals answering one question: who builds the front end, and how much future-proofing to pay for while doing it. Requested 2026-07-08 as a direct follow-on to the Front-End Engineering Considerations Catalog (Project-Reference) — Proposals 3 and 4 are literally that catalog's "lean vs. long-term-in-mind" question, priced out.</t>
  </si>
  <si>
    <t xml:space="preserve">How this relates to the existing Phase 1 Budget workbook</t>
  </si>
  <si>
    <t xml:space="preserve">This workbook does not re-derive numbers that already exist. Usage economics (Bucket A: LLM + voice cost per user), external-reviewer cost, and the base engineering build-out range all come directly from Ministry/Funding/CiC_Phase1_Budget_V0_1_DRAFT.xlsx (built 2026-07-08, same repo). This workbook adds what that one doesn't cover: the DIY/learn-as-you-go path, and the dollar cost of the six growth-readiness items in the Engineering Considerations Catalog.</t>
  </si>
  <si>
    <t xml:space="preserve">The four proposals, as asked</t>
  </si>
  <si>
    <t xml:space="preserve">1) Hire a front-end engineer to build it. 2) The tools and systems to build it yourself, learning as you go. 3) Prototype + Phase 1 only — lean/bounded, not architected for growth beyond that. 4) Prototype + Phase 1, built with long-term growth in mind. Proposals 1–2 answer "who builds it"; Proposals 3–4 answer "how much future-proofing." Because those are two different questions, each of the four proposal columns on the Proposals Compared tab shows both the lean and long-term-in-mind engineering cost (Props 1–2) or both the hired and DIY engineering cost (Props 3–4), so every column is a complete, self-contained answer rather than assuming your choice on the other axis.</t>
  </si>
  <si>
    <t xml:space="preserve">Scope</t>
  </si>
  <si>
    <t xml:space="preserve">All four proposals are scoped to reaching Phase 1 launch ("Conversations with the Early Church," 5 worlds, public access begins) at launch-scale adoption (250 users, the existing workbook's "Low adoption" scenario) — not Phase 2+ growth. Ongoing usage cost beyond Year 1, and adoption above 250 users, are covered by the existing Phase 1 Budget workbook's Medium/High scenarios; not repeated here.</t>
  </si>
  <si>
    <t xml:space="preserve">What it deliberately excludes</t>
  </si>
  <si>
    <t xml:space="preserve">No stipend for Mark, matching the existing workbook's explicit exclusion. No legal/entity formation cost (fiscal sponsor fee or nonprofit filing) — those are contingent on the org-funding thread's still-open legal-structure decision, tracked separately.</t>
  </si>
  <si>
    <t xml:space="preserve">A real finding worth reading before the numbers</t>
  </si>
  <si>
    <t xml:space="preserve">Even the DIY path does not eliminate all hired-engineering cost. The Engineering Specification's own review model (Sec. 6, Engagement Two) requires the pre-public-availability audit be done by "an engineer without prior involvement in the build — the coldness is the value." If Mark builds it himself, he still cannot be the one who audits it. That line item is hired regardless of which of the four proposals is chosen.</t>
  </si>
  <si>
    <t xml:space="preserve">Confidence levels, stated honestly</t>
  </si>
  <si>
    <t xml:space="preserve">Every hardcoded number is labeled in its Note column. Documented = real, dated, sourced pricing. Inferential/Thin = a reasoned estimate from comparables, because no list price exists (contract hours, DIY calendar timelines, growth-readiness increment hours). The DIY calendar-timeline row is the least-grounded number in this workbook — there is no real precedent inside this project for a solo, non-engineer, AI-assisted build, so treat it as a rough order of magnitude, not a plan.</t>
  </si>
  <si>
    <t xml:space="preserve">Sheets in this workbook</t>
  </si>
  <si>
    <t xml:space="preserve">Assumptions (every input, sourced) · Growth-Readiness Increment (the six catalog items, itemized in hours) · Proposals Compared (the four proposals, side by side).</t>
  </si>
  <si>
    <t xml:space="preserve">Assumptions</t>
  </si>
  <si>
    <t xml:space="preserve">Blue = input, change freely. Every row is sourced in the Notes column.</t>
  </si>
  <si>
    <t xml:space="preserve">Assumption</t>
  </si>
  <si>
    <t xml:space="preserve">Value</t>
  </si>
  <si>
    <t xml:space="preserve">Unit</t>
  </si>
  <si>
    <t xml:space="preserve">Source / Note</t>
  </si>
  <si>
    <t xml:space="preserve">USAGE PATTERN — reused from CiC_Phase1_Budget_V0_1_DRAFT.xlsx (2026-07-08)</t>
  </si>
  <si>
    <t xml:space="preserve">Conversational exchanges per hour</t>
  </si>
  <si>
    <t xml:space="preserve">turns/hour</t>
  </si>
  <si>
    <t xml:space="preserve">Reused from existing Phase 1 Budget workbook, Assumptions tab.</t>
  </si>
  <si>
    <t xml:space="preserve">Hours of use per user per month</t>
  </si>
  <si>
    <t xml:space="preserve">hours</t>
  </si>
  <si>
    <t xml:space="preserve">Reused.</t>
  </si>
  <si>
    <t xml:space="preserve">Avg. Representatives responding per turn</t>
  </si>
  <si>
    <t xml:space="preserve">multiplier</t>
  </si>
  <si>
    <t xml:space="preserve">LLM TOKENS PER TURN (per Representative invoked) — reused</t>
  </si>
  <si>
    <t xml:space="preserve">World Capsule Core</t>
  </si>
  <si>
    <t xml:space="preserve">tokens</t>
  </si>
  <si>
    <t xml:space="preserve">Reused. Source: CiC_FrontEnd_Engineering_Specification_V1_1, Sec 2.1.</t>
  </si>
  <si>
    <t xml:space="preserve">World Priority Layer</t>
  </si>
  <si>
    <t xml:space="preserve">Retrieved chunks</t>
  </si>
  <si>
    <t xml:space="preserve">System / Facilitator prompt overhead</t>
  </si>
  <si>
    <t xml:space="preserve">Avg. public transcript size per turn</t>
  </si>
  <si>
    <t xml:space="preserve">Output tokens per response</t>
  </si>
  <si>
    <t xml:space="preserve">LLM PRICING — Claude Sonnet 5 — reused</t>
  </si>
  <si>
    <t xml:space="preserve">Input price</t>
  </si>
  <si>
    <t xml:space="preserve">$/M tokens</t>
  </si>
  <si>
    <t xml:space="preserve">Reused. Source: platform.claude.com/docs, accessed 2026-07-08.</t>
  </si>
  <si>
    <t xml:space="preserve">Output price</t>
  </si>
  <si>
    <t xml:space="preserve">Prompt-cache read multiplier</t>
  </si>
  <si>
    <t xml:space="preserve">x base input price</t>
  </si>
  <si>
    <t xml:space="preserve">Reused. Cache reads billed at 0.1x.</t>
  </si>
  <si>
    <t xml:space="preserve">VOICE (text-to-speech) — reused</t>
  </si>
  <si>
    <t xml:space="preserve">AI-generated speech as share of session</t>
  </si>
  <si>
    <t xml:space="preserve">fraction</t>
  </si>
  <si>
    <t xml:space="preserve">Voice price — unoptimized (ElevenLabs)</t>
  </si>
  <si>
    <t xml:space="preserve">$/minute</t>
  </si>
  <si>
    <t xml:space="preserve">Reused. Source: elevenlabs.io/pricing/api, accessed 2026-07-08.</t>
  </si>
  <si>
    <t xml:space="preserve">Voice price — optimized (Google Chirp 3: HD)</t>
  </si>
  <si>
    <t xml:space="preserve">Reused. Derived from cloud.google.com/text-to-speech/pricing.</t>
  </si>
  <si>
    <t xml:space="preserve">LAUNCH-SCALE ADOPTION (Phase 1 launch, not later growth)</t>
  </si>
  <si>
    <t xml:space="preserve">Launch-scale users (Year 1)</t>
  </si>
  <si>
    <t xml:space="preserve">users</t>
  </si>
  <si>
    <t xml:space="preserve">Reused — matches existing workbook's "Low adoption" scenario. These four proposals price reaching launch, not post-launch scale-up.</t>
  </si>
  <si>
    <t xml:space="preserve">ARTICLE 31 EXTERNAL SCHOLARLY REVIEWERS — reused</t>
  </si>
  <si>
    <t xml:space="preserve">Worlds requiring review</t>
  </si>
  <si>
    <t xml:space="preserve">worlds</t>
  </si>
  <si>
    <t xml:space="preserve">Reused. Full 5-world Ancient Church set, per Phase Structure V1.1.</t>
  </si>
  <si>
    <t xml:space="preserve">Cost per world — relational/honorarium</t>
  </si>
  <si>
    <t xml:space="preserve">$/world</t>
  </si>
  <si>
    <t xml:space="preserve">Reused. Inferential/Thin.</t>
  </si>
  <si>
    <t xml:space="preserve">Cost per world — formal paid consulting</t>
  </si>
  <si>
    <t xml:space="preserve">ENGINEERING — BASE FEATURE BUILD-OUT (lean/bounded scope) — reused</t>
  </si>
  <si>
    <t xml:space="preserve">Phase 1 feature build-out — low estimate</t>
  </si>
  <si>
    <t xml:space="preserve">Reused. Placeholder pending real scoping — no Deployment Standards doc exists yet.</t>
  </si>
  <si>
    <t xml:space="preserve">Phase 1 feature build-out — high estimate</t>
  </si>
  <si>
    <t xml:space="preserve">Engagement Two — pre-public-availability audit</t>
  </si>
  <si>
    <t xml:space="preserve">Reused. Hired regardless of build path — see Read Me.</t>
  </si>
  <si>
    <t xml:space="preserve">Engineer rate — low</t>
  </si>
  <si>
    <t xml:space="preserve">$/hour</t>
  </si>
  <si>
    <t xml:space="preserve">Reused. Source: zenvanriel.com freelance AI engineer rate guide, accessed 2026-07-08.</t>
  </si>
  <si>
    <t xml:space="preserve">Engineer rate — high</t>
  </si>
  <si>
    <t xml:space="preserve">HOSTING / PLATFORM — reused</t>
  </si>
  <si>
    <t xml:space="preserve">Monthly base hosting — low</t>
  </si>
  <si>
    <t xml:space="preserve">$/month</t>
  </si>
  <si>
    <t xml:space="preserve">Reused. Placeholder — no platform chosen yet.</t>
  </si>
  <si>
    <t xml:space="preserve">Monthly base hosting — high</t>
  </si>
  <si>
    <t xml:space="preserve">DIY TOOLING (Proposal 2 — new) — sourced 2026-07-08</t>
  </si>
  <si>
    <t xml:space="preserve">AI coding assistant — light use (Claude Code, Pro plan)</t>
  </si>
  <si>
    <t xml:space="preserve">Documented. Source: Anthropic Claude Code pricing, accessed 2026-07-08.</t>
  </si>
  <si>
    <t xml:space="preserve">AI coding assistant — heavy use (Claude Code, Max 5x plan)</t>
  </si>
  <si>
    <t xml:space="preserve">Documented. Realistic for a beginner doing heavy iterative AI-assisted building. Same source.</t>
  </si>
  <si>
    <t xml:space="preserve">Hosting during build/dev — low (Vercel Pro, light usage)</t>
  </si>
  <si>
    <t xml:space="preserve">Documented. Source: vercel.com/pricing, accessed 2026-07-08. Hobby (free) tier excluded — its terms prohibit commercial/public use, which a Phase 1 public launch requires.</t>
  </si>
  <si>
    <t xml:space="preserve">Hosting during build/dev — high (Vercel Pro, typical usage overage)</t>
  </si>
  <si>
    <t xml:space="preserve">Documented. "Typical Pro user lands near $67/mo in practice once usage is included" per pricing sources accessed 2026-07-08.</t>
  </si>
  <si>
    <t xml:space="preserve">Backend / database (Supabase) — low</t>
  </si>
  <si>
    <t xml:space="preserve">Documented. Free tier viable at prototype scale. Source accessed 2026-07-08.</t>
  </si>
  <si>
    <t xml:space="preserve">Backend / database (Supabase) — high</t>
  </si>
  <si>
    <t xml:space="preserve">Documented. Entry paid tier.</t>
  </si>
  <si>
    <t xml:space="preserve">Occasional expert consult — hours (safety valve for getting unstuck)</t>
  </si>
  <si>
    <t xml:space="preserve">Inferential/Thin — a reasoned buffer, not a plan. Low end.</t>
  </si>
  <si>
    <t xml:space="preserve">Occasional expert consult — hours, high</t>
  </si>
  <si>
    <t xml:space="preserve">Inferential/Thin. High end.</t>
  </si>
  <si>
    <t xml:space="preserve">DIY CALENDAR TIMELINE (Inferential/Thin — reasoned judgment, not a commitment)</t>
  </si>
  <si>
    <t xml:space="preserve">Hired specialist, lean scope — calendar months</t>
  </si>
  <si>
    <t xml:space="preserve">1.5–6</t>
  </si>
  <si>
    <t xml:space="preserve">months</t>
  </si>
  <si>
    <t xml:space="preserve">Reasoned from base hours (150–400h) at a realistic part-time contractor pace (15–25 hrs/week).</t>
  </si>
  <si>
    <t xml:space="preserve">Hired specialist, long-term-in-mind scope — calendar months</t>
  </si>
  <si>
    <t xml:space="preserve">2–7.5</t>
  </si>
  <si>
    <t xml:space="preserve">Same basis, using the growth-readiness-inclusive hour range (195–490h).</t>
  </si>
  <si>
    <t xml:space="preserve">DIY / learn-as-you-go, lean scope — calendar months</t>
  </si>
  <si>
    <t xml:space="preserve">3–12</t>
  </si>
  <si>
    <t xml:space="preserve">Inferential/Thin. A beginner using strong AI-assisted tooling can plausibly cover similar effort, spread over more elapsed calendar time due to learning curve, debugging, and part-time availability alongside running the ministry. No real precedent inside this project — treat as rough order of magnitude.</t>
  </si>
  <si>
    <t xml:space="preserve">DIY / learn-as-you-go, long-term-in-mind scope — calendar months</t>
  </si>
  <si>
    <t xml:space="preserve">6–18</t>
  </si>
  <si>
    <t xml:space="preserve">Inferential/Thin. Same basis, extended for the added architectural discipline the growth-readiness items require a beginner to learn, not just apply.</t>
  </si>
  <si>
    <t xml:space="preserve">UNIT ECONOMICS (recomputed here as formulas — matches existing Phase 1 Budget workbook's Unit Economics tab)</t>
  </si>
  <si>
    <t xml:space="preserve">Turns per month</t>
  </si>
  <si>
    <t xml:space="preserve">turns</t>
  </si>
  <si>
    <t xml:space="preserve">exchanges/hr x hours/month.</t>
  </si>
  <si>
    <t xml:space="preserve">Fixed (cacheable) tokens/turn</t>
  </si>
  <si>
    <t xml:space="preserve">World Capsule Core + Priority Layer + system overhead.</t>
  </si>
  <si>
    <t xml:space="preserve">Non-cacheable tokens/turn</t>
  </si>
  <si>
    <t xml:space="preserve">Retrieved chunks + transcript — changes every turn, can't cache.</t>
  </si>
  <si>
    <t xml:space="preserve">Billed input tokens/turn — optimized (cached)</t>
  </si>
  <si>
    <t xml:space="preserve">Fixed tokens billed at cache-read rate.</t>
  </si>
  <si>
    <t xml:space="preserve">Billed input tokens/turn — unoptimized (no caching)</t>
  </si>
  <si>
    <t xml:space="preserve">Every token billed at full input rate.</t>
  </si>
  <si>
    <t xml:space="preserve">Input cost/turn — optimized ($)</t>
  </si>
  <si>
    <t xml:space="preserve">$</t>
  </si>
  <si>
    <t xml:space="preserve">Input cost/turn — unoptimized ($)</t>
  </si>
  <si>
    <t xml:space="preserve">Output cost/turn ($)</t>
  </si>
  <si>
    <t xml:space="preserve">LLM cost/turn incl. multi-Rep — optimized ($)</t>
  </si>
  <si>
    <t xml:space="preserve">LLM cost/turn incl. multi-Rep — unoptimized ($)</t>
  </si>
  <si>
    <t xml:space="preserve">LLM cost/user/month — optimized ($)</t>
  </si>
  <si>
    <t xml:space="preserve">LLM cost/user/month — unoptimized ($)</t>
  </si>
  <si>
    <t xml:space="preserve">Voice minutes/user/month</t>
  </si>
  <si>
    <t xml:space="preserve">minutes</t>
  </si>
  <si>
    <t xml:space="preserve">Voice cost/user/month — optimized ($)</t>
  </si>
  <si>
    <t xml:space="preserve">Voice cost/user/month — unoptimized ($)</t>
  </si>
  <si>
    <t xml:space="preserve">Total usage cost/user/YEAR — optimized ($)</t>
  </si>
  <si>
    <t xml:space="preserve">$/yr</t>
  </si>
  <si>
    <t xml:space="preserve">Total usage cost/user/YEAR — unoptimized ($)</t>
  </si>
  <si>
    <t xml:space="preserve">Bucket A — launch-scale usage cost, Year 1 — optimized ($)</t>
  </si>
  <si>
    <t xml:space="preserve">per-user annual cost x 250 launch-scale users.</t>
  </si>
  <si>
    <t xml:space="preserve">Bucket A — launch-scale usage cost, Year 1 — unoptimized ($)</t>
  </si>
  <si>
    <t xml:space="preserve">Growth-Readiness Increment — what "long-term-in-mind" actually buys</t>
  </si>
  <si>
    <t xml:space="preserve">Itemized hours for the six items in the Engineering Considerations Catalog (Project-Reference/CiC_Engineering_Considerations_Catalog_V1_0.md, 2026-07-08). Inferential/Thin — reasoned estimates, not a quote.</t>
  </si>
  <si>
    <t xml:space="preserve">Catalog item</t>
  </si>
  <si>
    <t xml:space="preserve">Low hrs</t>
  </si>
  <si>
    <t xml:space="preserve">High hrs</t>
  </si>
  <si>
    <t xml:space="preserve">Why this many hours</t>
  </si>
  <si>
    <t xml:space="preserve">World data schema readiness (temporal range, region, "shaped-by" relationship fields on every world record)</t>
  </si>
  <si>
    <t xml:space="preserve">Data-modeling only — no UI work required at Phase 1. Cheap because it's fields on a record, not a feature.</t>
  </si>
  <si>
    <t xml:space="preserve">Retrieval behind a clean interface (rule-based now, swappable to semantic search later without touching every caller)</t>
  </si>
  <si>
    <t xml:space="preserve">One extra layer of indirection around the Layer 7 retrieval call — architectural discipline, not new functionality.</t>
  </si>
  <si>
    <t xml:space="preserve">Role/entitlement field + lightweight optional accounts (so a future paid tier is a flag flip, not a rebuild)</t>
  </si>
  <si>
    <t xml:space="preserve">The most substantial item — even a minimal optional sign-in touches session handling, which doesn't otherwise need to exist at Phase 1.</t>
  </si>
  <si>
    <t xml:space="preserve">Voice pipeline built as the real architecture (cheap voice selected now, not a throwaway version)</t>
  </si>
  <si>
    <t xml:space="preserve">Small increment if the pipeline shape is designed right the first time — most of this cost is in avoiding a wrong shortcut, not extra building.</t>
  </si>
  <si>
    <t xml:space="preserve">Conversation-logging / privacy policy given one coherent technical implementation (not two colliding defaults)</t>
  </si>
  <si>
    <t xml:space="preserve">Structured, consent-aware logging takes modestly more engineering than logging everything or nothing; the policy-writing itself is separate, non-engineering work.</t>
  </si>
  <si>
    <t xml:space="preserve">World-content versioning scaffold (so a content update doesn't require a full redeploy or break a live session)</t>
  </si>
  <si>
    <t xml:space="preserve">A version tag on the Runtime State Model's session record — cheap now, since that model doesn't exist yet to retrofit.</t>
  </si>
  <si>
    <t xml:space="preserve">Growth-readiness increment — subtotal</t>
  </si>
  <si>
    <t xml:space="preserve">Feeds Assumptions tab — see Read Me for how this rolls into Proposals Compared.</t>
  </si>
  <si>
    <t xml:space="preserve">Proposals Compared</t>
  </si>
  <si>
    <t xml:space="preserve">Every column is self-contained: each proposal answers its own question fully (Props 1–2 show both the lean and long-term-in-mind engineering cost; Props 3–4 show both the hired and DIY engineering cost), so no proposal's total assumes an answer to the other axis.</t>
  </si>
  <si>
    <t xml:space="preserve">Line Item</t>
  </si>
  <si>
    <t xml:space="preserve">Proposal 1: Hire a Front-End Engineer</t>
  </si>
  <si>
    <t xml:space="preserve">Proposal 2: DIY — Tools &amp; Learn as You Go</t>
  </si>
  <si>
    <t xml:space="preserve">Proposal 3: Phase 1 Only — Lean / Bounded</t>
  </si>
  <si>
    <t xml:space="preserve">Proposal 4: Phase 1 — Long-Term-in-Mind</t>
  </si>
  <si>
    <t xml:space="preserve">Note</t>
  </si>
  <si>
    <t xml:space="preserve">Low</t>
  </si>
  <si>
    <t xml:space="preserve">High</t>
  </si>
  <si>
    <t xml:space="preserve">ENGINEERING — FEATURE BUILD-OUT</t>
  </si>
  <si>
    <t xml:space="preserve">Feature build-out — lean/bounded scope, if HIRED</t>
  </si>
  <si>
    <t xml:space="preserve">—</t>
  </si>
  <si>
    <t xml:space="preserve">150–400 hrs at $125–200/hr. Reused base build-out estimate — pending real scoping (no Deployment Standards doc yet).</t>
  </si>
  <si>
    <t xml:space="preserve">Feature build-out — lean/bounded scope, if DIY (your own unpaid time)</t>
  </si>
  <si>
    <t xml:space="preserve">Cash cost is $0 — the real cost is your own time, captured in the Calendar Time rows below, not here.</t>
  </si>
  <si>
    <t xml:space="preserve">Feature build-out — long-term-in-mind scope, if HIRED</t>
  </si>
  <si>
    <t xml:space="preserve">Base 150–400 hrs + the 45–90 hr Growth-Readiness Increment (see that tab) at $125–200/hr.</t>
  </si>
  <si>
    <t xml:space="preserve">Feature build-out — long-term-in-mind scope, if DIY (your own unpaid time)</t>
  </si>
  <si>
    <t xml:space="preserve">Cash cost is still $0 as DIY — but learning to apply the growth-readiness items adds real calendar time (see below), more than it adds cash.</t>
  </si>
  <si>
    <t xml:space="preserve">HIRED REGARDLESS OF PATH (independent audit; content-governance reviewers — apply to all four proposals equally)</t>
  </si>
  <si>
    <t xml:space="preserve">Pre-public-availability audit (Engagement Two — independent engineer, hired regardless)</t>
  </si>
  <si>
    <t xml:space="preserve">60 hrs at $125–200/hr. Must be someone without prior build involvement — Eng. Spec Sec. 6. Even the DIY path cannot skip this.</t>
  </si>
  <si>
    <t xml:space="preserve">External scholarly reviewers (Article 31 — content governance, independent of front-end build path)</t>
  </si>
  <si>
    <t xml:space="preserve">5 worlds x $500–3,500/world. Governs world content, not who builds the front end — same cost under all four proposals.</t>
  </si>
  <si>
    <t xml:space="preserve">PLATFORM &amp; USAGE (apply to all four equally)</t>
  </si>
  <si>
    <t xml:space="preserve">Production hosting / platform base fee (annual)</t>
  </si>
  <si>
    <t xml:space="preserve">No platform chosen yet. Same placeholder range regardless of build path — this is what running it costs, not building it.</t>
  </si>
  <si>
    <t xml:space="preserve">Usage cost, Year 1 (LLM + voice, launch-scale ~250 users)</t>
  </si>
  <si>
    <t xml:space="preserve">Low = optimized (caching + Google Chirp 3 HD). High = unoptimized (no caching + ElevenLabs). Same regardless of build path.</t>
  </si>
  <si>
    <t xml:space="preserve">DIY-SPECIFIC COSTS (populated wherever DIY is the build path — Prop 2, and the DIY sub-case within Props 3/4)</t>
  </si>
  <si>
    <t xml:space="preserve">DIY tooling &amp; dev subscriptions (annual): AI coding assistant + dev hosting + dev backend</t>
  </si>
  <si>
    <t xml:space="preserve">Claude Code ($20–100/mo) + Vercel Pro dev usage ($20–67/mo) + Supabase ($0–25/mo). Same cost whenever DIY is the chosen path, regardless of scope.</t>
  </si>
  <si>
    <t xml:space="preserve">Occasional expert consult — safety valve for getting unstuck</t>
  </si>
  <si>
    <t xml:space="preserve">10–20 hrs at the same $125–200/hr contractor rate — a buffer, not a plan. Same whenever DIY is chosen.</t>
  </si>
  <si>
    <t xml:space="preserve">TOTAL — YEAR 1 CASH COST (four scenarios, so no total silently adds two mutually-exclusive engineering choices together)</t>
  </si>
  <si>
    <t xml:space="preserve">TOTAL, lean scope, if HIRED</t>
  </si>
  <si>
    <t xml:space="preserve">build-out(lean,hired) + audit + reviewers + hosting + usage. Populated for Prop 1 and Prop 3.</t>
  </si>
  <si>
    <t xml:space="preserve">TOTAL, lean scope, if DIY</t>
  </si>
  <si>
    <t xml:space="preserve">$0 build-out + audit + reviewers + hosting + usage + DIY tooling + consult buffer. Populated for Prop 2 and Prop 3.</t>
  </si>
  <si>
    <t xml:space="preserve">TOTAL, long-term-in-mind scope, if HIRED</t>
  </si>
  <si>
    <t xml:space="preserve">build-out(long-term,hired) + audit + reviewers + hosting + usage. Populated for Prop 1 and Prop 4.</t>
  </si>
  <si>
    <t xml:space="preserve">TOTAL, long-term-in-mind scope, if DIY</t>
  </si>
  <si>
    <t xml:space="preserve">$0 build-out + audit + reviewers + hosting + usage + DIY tooling + consult buffer. Populated for Prop 2 and Prop 4.</t>
  </si>
  <si>
    <t xml:space="preserve">ESTIMATED CALENDAR TIME TO PHASE 1 LAUNCH (Inferential/Thin — see Assumptions tab)</t>
  </si>
  <si>
    <t xml:space="preserve">Calendar time — lean scope, if HIRED</t>
  </si>
  <si>
    <t xml:space="preserve">Same underlying estimate shown from both Prop 1 and Prop 3's entry point.</t>
  </si>
  <si>
    <t xml:space="preserve">Calendar time — lean scope, if DIY</t>
  </si>
  <si>
    <t xml:space="preserve">Same underlying estimate shown from both Prop 2 and Prop 3's entry point.</t>
  </si>
  <si>
    <t xml:space="preserve">Calendar time — long-term-in-mind scope, if HIRED</t>
  </si>
  <si>
    <t xml:space="preserve">Same underlying estimate shown from both Prop 1 and Prop 4's entry point.</t>
  </si>
  <si>
    <t xml:space="preserve">Calendar time — long-term-in-mind scope, if DIY</t>
  </si>
  <si>
    <t xml:space="preserve">Same underlying estimate shown from both Prop 2 and Prop 4's entry point.</t>
  </si>
</sst>
</file>

<file path=xl/styles.xml><?xml version="1.0" encoding="utf-8"?>
<styleSheet xmlns="http://schemas.openxmlformats.org/spreadsheetml/2006/main">
  <numFmts count="3">
    <numFmt numFmtId="164" formatCode="General"/>
    <numFmt numFmtId="165" formatCode="\$#,##0;&quot;($&quot;#,##0\);\—"/>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1"/>
      <color rgb="FF1F3864"/>
      <name val="Arial"/>
      <family val="0"/>
      <charset val="1"/>
    </font>
    <font>
      <sz val="10"/>
      <color rgb="FF0000FF"/>
      <name val="Arial"/>
      <family val="0"/>
      <charset val="1"/>
    </font>
    <font>
      <i val="true"/>
      <sz val="9"/>
      <color rgb="FF595959"/>
      <name val="Arial"/>
      <family val="0"/>
      <charset val="1"/>
    </font>
    <font>
      <sz val="10"/>
      <color rgb="FF008000"/>
      <name val="Arial"/>
      <family val="0"/>
      <charset val="1"/>
    </font>
    <font>
      <sz val="10"/>
      <color rgb="FF99999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tru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6" fontId="6"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57" hidden="false" customHeight="true" outlineLevel="0" collapsed="false">
      <c r="A5" s="4" t="s">
        <v>3</v>
      </c>
    </row>
    <row r="7" customFormat="false" ht="15" hidden="false" customHeight="false" outlineLevel="0" collapsed="false">
      <c r="A7" s="3" t="s">
        <v>4</v>
      </c>
    </row>
    <row r="8" customFormat="false" ht="82.5" hidden="false" customHeight="true" outlineLevel="0" collapsed="false">
      <c r="A8" s="4" t="s">
        <v>5</v>
      </c>
    </row>
    <row r="10" customFormat="false" ht="15" hidden="false" customHeight="false" outlineLevel="0" collapsed="false">
      <c r="A10" s="3" t="s">
        <v>6</v>
      </c>
    </row>
    <row r="11" customFormat="false" ht="108.75" hidden="false" customHeight="true" outlineLevel="0" collapsed="false">
      <c r="A11" s="4" t="s">
        <v>7</v>
      </c>
    </row>
    <row r="13" customFormat="false" ht="15" hidden="false" customHeight="false" outlineLevel="0" collapsed="false">
      <c r="A13" s="3" t="s">
        <v>8</v>
      </c>
    </row>
    <row r="14" customFormat="false" ht="69.75" hidden="false" customHeight="true" outlineLevel="0" collapsed="false">
      <c r="A14" s="4" t="s">
        <v>9</v>
      </c>
    </row>
    <row r="16" customFormat="false" ht="15" hidden="false" customHeight="false" outlineLevel="0" collapsed="false">
      <c r="A16" s="3" t="s">
        <v>10</v>
      </c>
    </row>
    <row r="17" customFormat="false" ht="43.5" hidden="false" customHeight="true" outlineLevel="0" collapsed="false">
      <c r="A17" s="4" t="s">
        <v>11</v>
      </c>
    </row>
    <row r="19" customFormat="false" ht="15" hidden="false" customHeight="false" outlineLevel="0" collapsed="false">
      <c r="A19" s="3" t="s">
        <v>12</v>
      </c>
    </row>
    <row r="20" customFormat="false" ht="69.75" hidden="false" customHeight="true" outlineLevel="0" collapsed="false">
      <c r="A20" s="4" t="s">
        <v>13</v>
      </c>
    </row>
    <row r="22" customFormat="false" ht="15" hidden="false" customHeight="false" outlineLevel="0" collapsed="false">
      <c r="A22" s="3" t="s">
        <v>14</v>
      </c>
    </row>
    <row r="23" customFormat="false" ht="82.5" hidden="false" customHeight="true" outlineLevel="0" collapsed="false">
      <c r="A23" s="4" t="s">
        <v>15</v>
      </c>
    </row>
    <row r="25" customFormat="false" ht="15" hidden="false" customHeight="false" outlineLevel="0" collapsed="false">
      <c r="A25" s="3" t="s">
        <v>16</v>
      </c>
    </row>
    <row r="26" customFormat="false" ht="30.75" hidden="false" customHeight="true" outlineLevel="0" collapsed="false">
      <c r="A26" s="4" t="s">
        <v>17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14"/>
    <col collapsed="false" customWidth="true" hidden="false" outlineLevel="0" max="4" min="4" style="0" width="70"/>
  </cols>
  <sheetData>
    <row r="1" customFormat="false" ht="19.7" hidden="false" customHeight="false" outlineLevel="0" collapsed="false">
      <c r="A1" s="1" t="s">
        <v>18</v>
      </c>
    </row>
    <row r="2" customFormat="false" ht="15" hidden="false" customHeight="false" outlineLevel="0" collapsed="false">
      <c r="A2" s="2" t="s">
        <v>19</v>
      </c>
    </row>
    <row r="4" customFormat="false" ht="15" hidden="false" customHeight="false" outlineLevel="0" collapsed="false">
      <c r="A4" s="5" t="s">
        <v>20</v>
      </c>
      <c r="B4" s="5" t="s">
        <v>21</v>
      </c>
      <c r="C4" s="5" t="s">
        <v>22</v>
      </c>
      <c r="D4" s="5" t="s">
        <v>23</v>
      </c>
    </row>
    <row r="6" customFormat="false" ht="15" hidden="false" customHeight="false" outlineLevel="0" collapsed="false">
      <c r="A6" s="6" t="s">
        <v>24</v>
      </c>
      <c r="B6" s="7"/>
      <c r="C6" s="7"/>
      <c r="D6" s="7"/>
    </row>
    <row r="7" customFormat="false" ht="15" hidden="false" customHeight="false" outlineLevel="0" collapsed="false">
      <c r="A7" s="8" t="s">
        <v>25</v>
      </c>
      <c r="B7" s="9" t="n">
        <v>20</v>
      </c>
      <c r="C7" s="8" t="s">
        <v>26</v>
      </c>
      <c r="D7" s="10" t="s">
        <v>27</v>
      </c>
    </row>
    <row r="8" customFormat="false" ht="15" hidden="false" customHeight="false" outlineLevel="0" collapsed="false">
      <c r="A8" s="8" t="s">
        <v>28</v>
      </c>
      <c r="B8" s="9" t="n">
        <v>2</v>
      </c>
      <c r="C8" s="8" t="s">
        <v>29</v>
      </c>
      <c r="D8" s="10" t="s">
        <v>30</v>
      </c>
    </row>
    <row r="9" customFormat="false" ht="15" hidden="false" customHeight="false" outlineLevel="0" collapsed="false">
      <c r="A9" s="8" t="s">
        <v>31</v>
      </c>
      <c r="B9" s="9" t="n">
        <v>1.3</v>
      </c>
      <c r="C9" s="8" t="s">
        <v>32</v>
      </c>
      <c r="D9" s="10" t="s">
        <v>30</v>
      </c>
    </row>
    <row r="11" customFormat="false" ht="15" hidden="false" customHeight="false" outlineLevel="0" collapsed="false">
      <c r="A11" s="6" t="s">
        <v>33</v>
      </c>
      <c r="B11" s="7"/>
      <c r="C11" s="7"/>
      <c r="D11" s="7"/>
    </row>
    <row r="12" customFormat="false" ht="15" hidden="false" customHeight="false" outlineLevel="0" collapsed="false">
      <c r="A12" s="8" t="s">
        <v>34</v>
      </c>
      <c r="B12" s="9" t="n">
        <v>4000</v>
      </c>
      <c r="C12" s="8" t="s">
        <v>35</v>
      </c>
      <c r="D12" s="10" t="s">
        <v>36</v>
      </c>
    </row>
    <row r="13" customFormat="false" ht="15" hidden="false" customHeight="false" outlineLevel="0" collapsed="false">
      <c r="A13" s="8" t="s">
        <v>37</v>
      </c>
      <c r="B13" s="9" t="n">
        <v>1200</v>
      </c>
      <c r="C13" s="8" t="s">
        <v>35</v>
      </c>
      <c r="D13" s="10" t="s">
        <v>30</v>
      </c>
    </row>
    <row r="14" customFormat="false" ht="15" hidden="false" customHeight="false" outlineLevel="0" collapsed="false">
      <c r="A14" s="8" t="s">
        <v>38</v>
      </c>
      <c r="B14" s="9" t="n">
        <v>900</v>
      </c>
      <c r="C14" s="8" t="s">
        <v>35</v>
      </c>
      <c r="D14" s="10" t="s">
        <v>30</v>
      </c>
    </row>
    <row r="15" customFormat="false" ht="15" hidden="false" customHeight="false" outlineLevel="0" collapsed="false">
      <c r="A15" s="8" t="s">
        <v>39</v>
      </c>
      <c r="B15" s="9" t="n">
        <v>1500</v>
      </c>
      <c r="C15" s="8" t="s">
        <v>35</v>
      </c>
      <c r="D15" s="10" t="s">
        <v>30</v>
      </c>
    </row>
    <row r="16" customFormat="false" ht="15" hidden="false" customHeight="false" outlineLevel="0" collapsed="false">
      <c r="A16" s="8" t="s">
        <v>40</v>
      </c>
      <c r="B16" s="9" t="n">
        <v>4000</v>
      </c>
      <c r="C16" s="8" t="s">
        <v>35</v>
      </c>
      <c r="D16" s="10" t="s">
        <v>30</v>
      </c>
    </row>
    <row r="17" customFormat="false" ht="15" hidden="false" customHeight="false" outlineLevel="0" collapsed="false">
      <c r="A17" s="8" t="s">
        <v>41</v>
      </c>
      <c r="B17" s="9" t="n">
        <v>200</v>
      </c>
      <c r="C17" s="8" t="s">
        <v>35</v>
      </c>
      <c r="D17" s="10" t="s">
        <v>30</v>
      </c>
    </row>
    <row r="19" customFormat="false" ht="15" hidden="false" customHeight="false" outlineLevel="0" collapsed="false">
      <c r="A19" s="6" t="s">
        <v>42</v>
      </c>
      <c r="B19" s="7"/>
      <c r="C19" s="7"/>
      <c r="D19" s="7"/>
    </row>
    <row r="20" customFormat="false" ht="15" hidden="false" customHeight="false" outlineLevel="0" collapsed="false">
      <c r="A20" s="8" t="s">
        <v>43</v>
      </c>
      <c r="B20" s="9" t="n">
        <v>2</v>
      </c>
      <c r="C20" s="8" t="s">
        <v>44</v>
      </c>
      <c r="D20" s="10" t="s">
        <v>45</v>
      </c>
    </row>
    <row r="21" customFormat="false" ht="15" hidden="false" customHeight="false" outlineLevel="0" collapsed="false">
      <c r="A21" s="8" t="s">
        <v>46</v>
      </c>
      <c r="B21" s="9" t="n">
        <v>10</v>
      </c>
      <c r="C21" s="8" t="s">
        <v>44</v>
      </c>
      <c r="D21" s="10" t="s">
        <v>30</v>
      </c>
    </row>
    <row r="22" customFormat="false" ht="15" hidden="false" customHeight="false" outlineLevel="0" collapsed="false">
      <c r="A22" s="8" t="s">
        <v>47</v>
      </c>
      <c r="B22" s="9" t="n">
        <v>0.1</v>
      </c>
      <c r="C22" s="8" t="s">
        <v>48</v>
      </c>
      <c r="D22" s="10" t="s">
        <v>49</v>
      </c>
    </row>
    <row r="24" customFormat="false" ht="15" hidden="false" customHeight="false" outlineLevel="0" collapsed="false">
      <c r="A24" s="6" t="s">
        <v>50</v>
      </c>
      <c r="B24" s="7"/>
      <c r="C24" s="7"/>
      <c r="D24" s="7"/>
    </row>
    <row r="25" customFormat="false" ht="15" hidden="false" customHeight="false" outlineLevel="0" collapsed="false">
      <c r="A25" s="8" t="s">
        <v>51</v>
      </c>
      <c r="B25" s="9" t="n">
        <v>0.5</v>
      </c>
      <c r="C25" s="8" t="s">
        <v>52</v>
      </c>
      <c r="D25" s="10" t="s">
        <v>30</v>
      </c>
    </row>
    <row r="26" customFormat="false" ht="15" hidden="false" customHeight="false" outlineLevel="0" collapsed="false">
      <c r="A26" s="8" t="s">
        <v>53</v>
      </c>
      <c r="B26" s="9" t="n">
        <v>0.08</v>
      </c>
      <c r="C26" s="8" t="s">
        <v>54</v>
      </c>
      <c r="D26" s="10" t="s">
        <v>55</v>
      </c>
    </row>
    <row r="27" customFormat="false" ht="15" hidden="false" customHeight="false" outlineLevel="0" collapsed="false">
      <c r="A27" s="8" t="s">
        <v>56</v>
      </c>
      <c r="B27" s="9" t="n">
        <v>0.027</v>
      </c>
      <c r="C27" s="8" t="s">
        <v>54</v>
      </c>
      <c r="D27" s="10" t="s">
        <v>57</v>
      </c>
    </row>
    <row r="29" customFormat="false" ht="15" hidden="false" customHeight="false" outlineLevel="0" collapsed="false">
      <c r="A29" s="6" t="s">
        <v>58</v>
      </c>
      <c r="B29" s="7"/>
      <c r="C29" s="7"/>
      <c r="D29" s="7"/>
    </row>
    <row r="30" customFormat="false" ht="22.35" hidden="false" customHeight="false" outlineLevel="0" collapsed="false">
      <c r="A30" s="8" t="s">
        <v>59</v>
      </c>
      <c r="B30" s="9" t="n">
        <v>250</v>
      </c>
      <c r="C30" s="8" t="s">
        <v>60</v>
      </c>
      <c r="D30" s="10" t="s">
        <v>61</v>
      </c>
    </row>
    <row r="32" customFormat="false" ht="15" hidden="false" customHeight="false" outlineLevel="0" collapsed="false">
      <c r="A32" s="6" t="s">
        <v>62</v>
      </c>
      <c r="B32" s="7"/>
      <c r="C32" s="7"/>
      <c r="D32" s="7"/>
    </row>
    <row r="33" customFormat="false" ht="15" hidden="false" customHeight="false" outlineLevel="0" collapsed="false">
      <c r="A33" s="8" t="s">
        <v>63</v>
      </c>
      <c r="B33" s="9" t="n">
        <v>5</v>
      </c>
      <c r="C33" s="8" t="s">
        <v>64</v>
      </c>
      <c r="D33" s="10" t="s">
        <v>65</v>
      </c>
    </row>
    <row r="34" customFormat="false" ht="15" hidden="false" customHeight="false" outlineLevel="0" collapsed="false">
      <c r="A34" s="8" t="s">
        <v>66</v>
      </c>
      <c r="B34" s="9" t="n">
        <v>500</v>
      </c>
      <c r="C34" s="8" t="s">
        <v>67</v>
      </c>
      <c r="D34" s="10" t="s">
        <v>68</v>
      </c>
    </row>
    <row r="35" customFormat="false" ht="15" hidden="false" customHeight="false" outlineLevel="0" collapsed="false">
      <c r="A35" s="8" t="s">
        <v>69</v>
      </c>
      <c r="B35" s="9" t="n">
        <v>3500</v>
      </c>
      <c r="C35" s="8" t="s">
        <v>67</v>
      </c>
      <c r="D35" s="10" t="s">
        <v>68</v>
      </c>
    </row>
    <row r="37" customFormat="false" ht="15" hidden="false" customHeight="false" outlineLevel="0" collapsed="false">
      <c r="A37" s="6" t="s">
        <v>70</v>
      </c>
      <c r="B37" s="7"/>
      <c r="C37" s="7"/>
      <c r="D37" s="7"/>
    </row>
    <row r="38" customFormat="false" ht="15" hidden="false" customHeight="false" outlineLevel="0" collapsed="false">
      <c r="A38" s="8" t="s">
        <v>71</v>
      </c>
      <c r="B38" s="11" t="n">
        <v>150</v>
      </c>
      <c r="C38" s="8" t="s">
        <v>29</v>
      </c>
      <c r="D38" s="10" t="s">
        <v>72</v>
      </c>
    </row>
    <row r="39" customFormat="false" ht="15" hidden="false" customHeight="false" outlineLevel="0" collapsed="false">
      <c r="A39" s="8" t="s">
        <v>73</v>
      </c>
      <c r="B39" s="11" t="n">
        <v>400</v>
      </c>
      <c r="C39" s="8" t="s">
        <v>29</v>
      </c>
      <c r="D39" s="10" t="s">
        <v>30</v>
      </c>
    </row>
    <row r="40" customFormat="false" ht="15" hidden="false" customHeight="false" outlineLevel="0" collapsed="false">
      <c r="A40" s="8" t="s">
        <v>74</v>
      </c>
      <c r="B40" s="9" t="n">
        <v>60</v>
      </c>
      <c r="C40" s="8" t="s">
        <v>29</v>
      </c>
      <c r="D40" s="10" t="s">
        <v>75</v>
      </c>
    </row>
    <row r="41" customFormat="false" ht="15" hidden="false" customHeight="false" outlineLevel="0" collapsed="false">
      <c r="A41" s="8" t="s">
        <v>76</v>
      </c>
      <c r="B41" s="9" t="n">
        <v>125</v>
      </c>
      <c r="C41" s="8" t="s">
        <v>77</v>
      </c>
      <c r="D41" s="10" t="s">
        <v>78</v>
      </c>
    </row>
    <row r="42" customFormat="false" ht="15" hidden="false" customHeight="false" outlineLevel="0" collapsed="false">
      <c r="A42" s="8" t="s">
        <v>79</v>
      </c>
      <c r="B42" s="9" t="n">
        <v>200</v>
      </c>
      <c r="C42" s="8" t="s">
        <v>77</v>
      </c>
      <c r="D42" s="10" t="s">
        <v>30</v>
      </c>
    </row>
    <row r="44" customFormat="false" ht="15" hidden="false" customHeight="false" outlineLevel="0" collapsed="false">
      <c r="A44" s="6" t="s">
        <v>80</v>
      </c>
      <c r="B44" s="7"/>
      <c r="C44" s="7"/>
      <c r="D44" s="7"/>
    </row>
    <row r="45" customFormat="false" ht="15" hidden="false" customHeight="false" outlineLevel="0" collapsed="false">
      <c r="A45" s="8" t="s">
        <v>81</v>
      </c>
      <c r="B45" s="9" t="n">
        <v>100</v>
      </c>
      <c r="C45" s="8" t="s">
        <v>82</v>
      </c>
      <c r="D45" s="10" t="s">
        <v>83</v>
      </c>
    </row>
    <row r="46" customFormat="false" ht="15" hidden="false" customHeight="false" outlineLevel="0" collapsed="false">
      <c r="A46" s="8" t="s">
        <v>84</v>
      </c>
      <c r="B46" s="9" t="n">
        <v>500</v>
      </c>
      <c r="C46" s="8" t="s">
        <v>82</v>
      </c>
      <c r="D46" s="10" t="s">
        <v>30</v>
      </c>
    </row>
    <row r="48" customFormat="false" ht="15" hidden="false" customHeight="false" outlineLevel="0" collapsed="false">
      <c r="A48" s="6" t="s">
        <v>85</v>
      </c>
      <c r="B48" s="7"/>
      <c r="C48" s="7"/>
      <c r="D48" s="7"/>
    </row>
    <row r="49" customFormat="false" ht="15" hidden="false" customHeight="false" outlineLevel="0" collapsed="false">
      <c r="A49" s="8" t="s">
        <v>86</v>
      </c>
      <c r="B49" s="9" t="n">
        <v>20</v>
      </c>
      <c r="C49" s="8" t="s">
        <v>82</v>
      </c>
      <c r="D49" s="10" t="s">
        <v>87</v>
      </c>
    </row>
    <row r="50" customFormat="false" ht="15" hidden="false" customHeight="false" outlineLevel="0" collapsed="false">
      <c r="A50" s="8" t="s">
        <v>88</v>
      </c>
      <c r="B50" s="9" t="n">
        <v>100</v>
      </c>
      <c r="C50" s="8" t="s">
        <v>82</v>
      </c>
      <c r="D50" s="10" t="s">
        <v>89</v>
      </c>
    </row>
    <row r="51" customFormat="false" ht="22.35" hidden="false" customHeight="false" outlineLevel="0" collapsed="false">
      <c r="A51" s="8" t="s">
        <v>90</v>
      </c>
      <c r="B51" s="9" t="n">
        <v>20</v>
      </c>
      <c r="C51" s="8" t="s">
        <v>82</v>
      </c>
      <c r="D51" s="10" t="s">
        <v>91</v>
      </c>
    </row>
    <row r="52" customFormat="false" ht="22.35" hidden="false" customHeight="false" outlineLevel="0" collapsed="false">
      <c r="A52" s="8" t="s">
        <v>92</v>
      </c>
      <c r="B52" s="9" t="n">
        <v>67</v>
      </c>
      <c r="C52" s="8" t="s">
        <v>82</v>
      </c>
      <c r="D52" s="10" t="s">
        <v>93</v>
      </c>
    </row>
    <row r="53" customFormat="false" ht="15" hidden="false" customHeight="false" outlineLevel="0" collapsed="false">
      <c r="A53" s="8" t="s">
        <v>94</v>
      </c>
      <c r="B53" s="9" t="n">
        <v>0</v>
      </c>
      <c r="C53" s="8" t="s">
        <v>82</v>
      </c>
      <c r="D53" s="10" t="s">
        <v>95</v>
      </c>
    </row>
    <row r="54" customFormat="false" ht="15" hidden="false" customHeight="false" outlineLevel="0" collapsed="false">
      <c r="A54" s="8" t="s">
        <v>96</v>
      </c>
      <c r="B54" s="9" t="n">
        <v>25</v>
      </c>
      <c r="C54" s="8" t="s">
        <v>82</v>
      </c>
      <c r="D54" s="10" t="s">
        <v>97</v>
      </c>
    </row>
    <row r="55" customFormat="false" ht="15" hidden="false" customHeight="false" outlineLevel="0" collapsed="false">
      <c r="A55" s="8" t="s">
        <v>98</v>
      </c>
      <c r="B55" s="9" t="n">
        <v>10</v>
      </c>
      <c r="C55" s="8" t="s">
        <v>29</v>
      </c>
      <c r="D55" s="10" t="s">
        <v>99</v>
      </c>
    </row>
    <row r="56" customFormat="false" ht="15" hidden="false" customHeight="false" outlineLevel="0" collapsed="false">
      <c r="A56" s="8" t="s">
        <v>100</v>
      </c>
      <c r="B56" s="9" t="n">
        <v>20</v>
      </c>
      <c r="C56" s="8" t="s">
        <v>29</v>
      </c>
      <c r="D56" s="10" t="s">
        <v>101</v>
      </c>
    </row>
    <row r="58" customFormat="false" ht="15" hidden="false" customHeight="false" outlineLevel="0" collapsed="false">
      <c r="A58" s="6" t="s">
        <v>102</v>
      </c>
      <c r="B58" s="7"/>
      <c r="C58" s="7"/>
      <c r="D58" s="7"/>
    </row>
    <row r="59" customFormat="false" ht="22.35" hidden="false" customHeight="false" outlineLevel="0" collapsed="false">
      <c r="A59" s="8" t="s">
        <v>103</v>
      </c>
      <c r="B59" s="9" t="s">
        <v>104</v>
      </c>
      <c r="C59" s="8" t="s">
        <v>105</v>
      </c>
      <c r="D59" s="10" t="s">
        <v>106</v>
      </c>
    </row>
    <row r="60" customFormat="false" ht="15" hidden="false" customHeight="false" outlineLevel="0" collapsed="false">
      <c r="A60" s="8" t="s">
        <v>107</v>
      </c>
      <c r="B60" s="9" t="s">
        <v>108</v>
      </c>
      <c r="C60" s="8" t="s">
        <v>105</v>
      </c>
      <c r="D60" s="10" t="s">
        <v>109</v>
      </c>
    </row>
    <row r="61" customFormat="false" ht="43.25" hidden="false" customHeight="false" outlineLevel="0" collapsed="false">
      <c r="A61" s="8" t="s">
        <v>110</v>
      </c>
      <c r="B61" s="11" t="s">
        <v>111</v>
      </c>
      <c r="C61" s="8" t="s">
        <v>105</v>
      </c>
      <c r="D61" s="10" t="s">
        <v>112</v>
      </c>
    </row>
    <row r="62" customFormat="false" ht="22.35" hidden="false" customHeight="false" outlineLevel="0" collapsed="false">
      <c r="A62" s="8" t="s">
        <v>113</v>
      </c>
      <c r="B62" s="11" t="s">
        <v>114</v>
      </c>
      <c r="C62" s="8" t="s">
        <v>105</v>
      </c>
      <c r="D62" s="10" t="s">
        <v>115</v>
      </c>
    </row>
    <row r="64" customFormat="false" ht="15" hidden="false" customHeight="false" outlineLevel="0" collapsed="false">
      <c r="A64" s="6" t="s">
        <v>116</v>
      </c>
      <c r="B64" s="7"/>
      <c r="C64" s="7"/>
      <c r="D64" s="7"/>
    </row>
    <row r="65" customFormat="false" ht="15" hidden="false" customHeight="false" outlineLevel="0" collapsed="false">
      <c r="A65" s="8" t="s">
        <v>117</v>
      </c>
      <c r="B65" s="8" t="n">
        <f aca="false">B7*B8</f>
        <v>40</v>
      </c>
      <c r="C65" s="8" t="s">
        <v>118</v>
      </c>
      <c r="D65" s="10" t="s">
        <v>119</v>
      </c>
    </row>
    <row r="66" customFormat="false" ht="15" hidden="false" customHeight="false" outlineLevel="0" collapsed="false">
      <c r="A66" s="8" t="s">
        <v>120</v>
      </c>
      <c r="B66" s="8" t="n">
        <f aca="false">B12+B13+B15</f>
        <v>6700</v>
      </c>
      <c r="C66" s="8" t="s">
        <v>35</v>
      </c>
      <c r="D66" s="10" t="s">
        <v>121</v>
      </c>
    </row>
    <row r="67" customFormat="false" ht="15" hidden="false" customHeight="false" outlineLevel="0" collapsed="false">
      <c r="A67" s="8" t="s">
        <v>122</v>
      </c>
      <c r="B67" s="8" t="n">
        <f aca="false">B14+B16</f>
        <v>4900</v>
      </c>
      <c r="C67" s="8" t="s">
        <v>35</v>
      </c>
      <c r="D67" s="10" t="s">
        <v>123</v>
      </c>
    </row>
    <row r="68" customFormat="false" ht="15" hidden="false" customHeight="false" outlineLevel="0" collapsed="false">
      <c r="A68" s="8" t="s">
        <v>124</v>
      </c>
      <c r="B68" s="8" t="n">
        <f aca="false">B66*B22+B67</f>
        <v>5570</v>
      </c>
      <c r="C68" s="8" t="s">
        <v>35</v>
      </c>
      <c r="D68" s="10" t="s">
        <v>125</v>
      </c>
    </row>
    <row r="69" customFormat="false" ht="15" hidden="false" customHeight="false" outlineLevel="0" collapsed="false">
      <c r="A69" s="8" t="s">
        <v>126</v>
      </c>
      <c r="B69" s="8" t="n">
        <f aca="false">B66+B67</f>
        <v>11600</v>
      </c>
      <c r="C69" s="8" t="s">
        <v>35</v>
      </c>
      <c r="D69" s="10" t="s">
        <v>127</v>
      </c>
    </row>
    <row r="70" customFormat="false" ht="15" hidden="false" customHeight="false" outlineLevel="0" collapsed="false">
      <c r="A70" s="8" t="s">
        <v>128</v>
      </c>
      <c r="B70" s="8" t="n">
        <f aca="false">B68/1000000*B20</f>
        <v>0.01114</v>
      </c>
      <c r="C70" s="8" t="s">
        <v>129</v>
      </c>
      <c r="D70" s="10"/>
    </row>
    <row r="71" customFormat="false" ht="15" hidden="false" customHeight="false" outlineLevel="0" collapsed="false">
      <c r="A71" s="8" t="s">
        <v>130</v>
      </c>
      <c r="B71" s="8" t="n">
        <f aca="false">B69/1000000*B20</f>
        <v>0.0232</v>
      </c>
      <c r="C71" s="8" t="s">
        <v>129</v>
      </c>
      <c r="D71" s="10"/>
    </row>
    <row r="72" customFormat="false" ht="15" hidden="false" customHeight="false" outlineLevel="0" collapsed="false">
      <c r="A72" s="8" t="s">
        <v>131</v>
      </c>
      <c r="B72" s="8" t="n">
        <f aca="false">B17/1000000*B21</f>
        <v>0.002</v>
      </c>
      <c r="C72" s="8" t="s">
        <v>129</v>
      </c>
      <c r="D72" s="10"/>
    </row>
    <row r="73" customFormat="false" ht="15" hidden="false" customHeight="false" outlineLevel="0" collapsed="false">
      <c r="A73" s="8" t="s">
        <v>132</v>
      </c>
      <c r="B73" s="8" t="n">
        <f aca="false">(B70+B72)*B9</f>
        <v>0.017082</v>
      </c>
      <c r="C73" s="8" t="s">
        <v>129</v>
      </c>
      <c r="D73" s="10"/>
    </row>
    <row r="74" customFormat="false" ht="15" hidden="false" customHeight="false" outlineLevel="0" collapsed="false">
      <c r="A74" s="8" t="s">
        <v>133</v>
      </c>
      <c r="B74" s="8" t="n">
        <f aca="false">(B71+B72)*B9</f>
        <v>0.03276</v>
      </c>
      <c r="C74" s="8" t="s">
        <v>129</v>
      </c>
      <c r="D74" s="10"/>
    </row>
    <row r="75" customFormat="false" ht="15" hidden="false" customHeight="false" outlineLevel="0" collapsed="false">
      <c r="A75" s="8" t="s">
        <v>134</v>
      </c>
      <c r="B75" s="8" t="n">
        <f aca="false">B73*B65</f>
        <v>0.68328</v>
      </c>
      <c r="C75" s="8" t="s">
        <v>129</v>
      </c>
      <c r="D75" s="10"/>
    </row>
    <row r="76" customFormat="false" ht="15" hidden="false" customHeight="false" outlineLevel="0" collapsed="false">
      <c r="A76" s="8" t="s">
        <v>135</v>
      </c>
      <c r="B76" s="8" t="n">
        <f aca="false">B74*B65</f>
        <v>1.3104</v>
      </c>
      <c r="C76" s="8" t="s">
        <v>129</v>
      </c>
      <c r="D76" s="10"/>
    </row>
    <row r="77" customFormat="false" ht="15" hidden="false" customHeight="false" outlineLevel="0" collapsed="false">
      <c r="A77" s="8" t="s">
        <v>136</v>
      </c>
      <c r="B77" s="8" t="n">
        <f aca="false">B8*60*B25</f>
        <v>60</v>
      </c>
      <c r="C77" s="8" t="s">
        <v>137</v>
      </c>
      <c r="D77" s="10"/>
    </row>
    <row r="78" customFormat="false" ht="15" hidden="false" customHeight="false" outlineLevel="0" collapsed="false">
      <c r="A78" s="8" t="s">
        <v>138</v>
      </c>
      <c r="B78" s="8" t="n">
        <f aca="false">B77*B27</f>
        <v>1.62</v>
      </c>
      <c r="C78" s="8" t="s">
        <v>129</v>
      </c>
      <c r="D78" s="10"/>
    </row>
    <row r="79" customFormat="false" ht="15" hidden="false" customHeight="false" outlineLevel="0" collapsed="false">
      <c r="A79" s="8" t="s">
        <v>139</v>
      </c>
      <c r="B79" s="8" t="n">
        <f aca="false">B77*B26</f>
        <v>4.8</v>
      </c>
      <c r="C79" s="8" t="s">
        <v>129</v>
      </c>
      <c r="D79" s="10"/>
    </row>
    <row r="80" customFormat="false" ht="15" hidden="false" customHeight="false" outlineLevel="0" collapsed="false">
      <c r="A80" s="8" t="s">
        <v>140</v>
      </c>
      <c r="B80" s="8" t="n">
        <f aca="false">(B75+B78)*12</f>
        <v>27.63936</v>
      </c>
      <c r="C80" s="8" t="s">
        <v>141</v>
      </c>
      <c r="D80" s="10"/>
    </row>
    <row r="81" customFormat="false" ht="15" hidden="false" customHeight="false" outlineLevel="0" collapsed="false">
      <c r="A81" s="8" t="s">
        <v>142</v>
      </c>
      <c r="B81" s="8" t="n">
        <f aca="false">(B76+B79)*12</f>
        <v>73.3248</v>
      </c>
      <c r="C81" s="8" t="s">
        <v>141</v>
      </c>
      <c r="D81" s="10"/>
    </row>
    <row r="82" customFormat="false" ht="15" hidden="false" customHeight="false" outlineLevel="0" collapsed="false">
      <c r="A82" s="8" t="s">
        <v>143</v>
      </c>
      <c r="B82" s="8" t="n">
        <f aca="false">B80*B30</f>
        <v>6909.84</v>
      </c>
      <c r="C82" s="8" t="s">
        <v>141</v>
      </c>
      <c r="D82" s="10" t="s">
        <v>144</v>
      </c>
    </row>
    <row r="83" customFormat="false" ht="15" hidden="false" customHeight="false" outlineLevel="0" collapsed="false">
      <c r="A83" s="8" t="s">
        <v>145</v>
      </c>
      <c r="B83" s="8" t="n">
        <f aca="false">B81*B30</f>
        <v>18331.2</v>
      </c>
      <c r="C83" s="8" t="s">
        <v>141</v>
      </c>
      <c r="D83" s="10"/>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3" min="2" style="0" width="12"/>
    <col collapsed="false" customWidth="true" hidden="false" outlineLevel="0" max="4" min="4" style="0" width="58"/>
  </cols>
  <sheetData>
    <row r="1" customFormat="false" ht="19.7" hidden="false" customHeight="false" outlineLevel="0" collapsed="false">
      <c r="A1" s="1" t="s">
        <v>146</v>
      </c>
    </row>
    <row r="2" customFormat="false" ht="57.45" hidden="false" customHeight="false" outlineLevel="0" collapsed="false">
      <c r="A2" s="12" t="s">
        <v>147</v>
      </c>
    </row>
    <row r="4" customFormat="false" ht="15" hidden="false" customHeight="false" outlineLevel="0" collapsed="false">
      <c r="A4" s="5" t="s">
        <v>148</v>
      </c>
      <c r="B4" s="5" t="s">
        <v>149</v>
      </c>
      <c r="C4" s="5" t="s">
        <v>150</v>
      </c>
      <c r="D4" s="5" t="s">
        <v>151</v>
      </c>
    </row>
    <row r="5" customFormat="false" ht="31.5" hidden="false" customHeight="true" outlineLevel="0" collapsed="false">
      <c r="A5" s="4" t="s">
        <v>152</v>
      </c>
      <c r="B5" s="9" t="n">
        <v>6</v>
      </c>
      <c r="C5" s="9" t="n">
        <v>10</v>
      </c>
      <c r="D5" s="10" t="s">
        <v>153</v>
      </c>
    </row>
    <row r="6" customFormat="false" ht="31.5" hidden="false" customHeight="true" outlineLevel="0" collapsed="false">
      <c r="A6" s="4" t="s">
        <v>154</v>
      </c>
      <c r="B6" s="9" t="n">
        <v>10</v>
      </c>
      <c r="C6" s="9" t="n">
        <v>20</v>
      </c>
      <c r="D6" s="10" t="s">
        <v>155</v>
      </c>
    </row>
    <row r="7" customFormat="false" ht="31.5" hidden="false" customHeight="true" outlineLevel="0" collapsed="false">
      <c r="A7" s="4" t="s">
        <v>156</v>
      </c>
      <c r="B7" s="9" t="n">
        <v>12</v>
      </c>
      <c r="C7" s="9" t="n">
        <v>25</v>
      </c>
      <c r="D7" s="10" t="s">
        <v>157</v>
      </c>
    </row>
    <row r="8" customFormat="false" ht="31.5" hidden="false" customHeight="true" outlineLevel="0" collapsed="false">
      <c r="A8" s="4" t="s">
        <v>158</v>
      </c>
      <c r="B8" s="9" t="n">
        <v>5</v>
      </c>
      <c r="C8" s="9" t="n">
        <v>10</v>
      </c>
      <c r="D8" s="10" t="s">
        <v>159</v>
      </c>
    </row>
    <row r="9" customFormat="false" ht="31.5" hidden="false" customHeight="true" outlineLevel="0" collapsed="false">
      <c r="A9" s="4" t="s">
        <v>160</v>
      </c>
      <c r="B9" s="9" t="n">
        <v>8</v>
      </c>
      <c r="C9" s="9" t="n">
        <v>15</v>
      </c>
      <c r="D9" s="10" t="s">
        <v>161</v>
      </c>
    </row>
    <row r="10" customFormat="false" ht="31.5" hidden="false" customHeight="true" outlineLevel="0" collapsed="false">
      <c r="A10" s="4" t="s">
        <v>162</v>
      </c>
      <c r="B10" s="9" t="n">
        <v>6</v>
      </c>
      <c r="C10" s="9" t="n">
        <v>12</v>
      </c>
      <c r="D10" s="10" t="s">
        <v>163</v>
      </c>
    </row>
    <row r="11" customFormat="false" ht="15" hidden="false" customHeight="false" outlineLevel="0" collapsed="false">
      <c r="A11" s="13" t="s">
        <v>164</v>
      </c>
      <c r="B11" s="13" t="n">
        <f aca="false">SUM(B5:B10)</f>
        <v>47</v>
      </c>
      <c r="C11" s="13" t="n">
        <f aca="false">SUM(C5:C10)</f>
        <v>92</v>
      </c>
      <c r="D11" s="14" t="s">
        <v>165</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9" min="2" style="0" width="13"/>
    <col collapsed="false" customWidth="true" hidden="false" outlineLevel="0" max="10" min="10" style="0" width="46"/>
  </cols>
  <sheetData>
    <row r="1" customFormat="false" ht="19.7" hidden="false" customHeight="false" outlineLevel="0" collapsed="false">
      <c r="A1" s="1" t="s">
        <v>166</v>
      </c>
    </row>
    <row r="2" customFormat="false" ht="27.75" hidden="false" customHeight="true" outlineLevel="0" collapsed="false">
      <c r="A2" s="12" t="s">
        <v>167</v>
      </c>
    </row>
    <row r="4" customFormat="false" ht="30" hidden="false" customHeight="true" outlineLevel="0" collapsed="false">
      <c r="A4" s="15" t="s">
        <v>168</v>
      </c>
      <c r="B4" s="16" t="s">
        <v>169</v>
      </c>
      <c r="C4" s="16"/>
      <c r="D4" s="16" t="s">
        <v>170</v>
      </c>
      <c r="E4" s="16"/>
      <c r="F4" s="16" t="s">
        <v>171</v>
      </c>
      <c r="G4" s="16"/>
      <c r="H4" s="16" t="s">
        <v>172</v>
      </c>
      <c r="I4" s="16"/>
      <c r="J4" s="15" t="s">
        <v>173</v>
      </c>
    </row>
    <row r="5" customFormat="false" ht="15" hidden="false" customHeight="false" outlineLevel="0" collapsed="false">
      <c r="A5" s="15"/>
      <c r="B5" s="17" t="s">
        <v>174</v>
      </c>
      <c r="C5" s="17" t="s">
        <v>175</v>
      </c>
      <c r="D5" s="17" t="s">
        <v>174</v>
      </c>
      <c r="E5" s="17" t="s">
        <v>175</v>
      </c>
      <c r="F5" s="17" t="s">
        <v>174</v>
      </c>
      <c r="G5" s="17" t="s">
        <v>175</v>
      </c>
      <c r="H5" s="17" t="s">
        <v>174</v>
      </c>
      <c r="I5" s="17" t="s">
        <v>175</v>
      </c>
      <c r="J5" s="15"/>
    </row>
    <row r="6" customFormat="false" ht="15" hidden="false" customHeight="false" outlineLevel="0" collapsed="false">
      <c r="A6" s="6" t="s">
        <v>176</v>
      </c>
      <c r="B6" s="7"/>
      <c r="C6" s="7"/>
      <c r="D6" s="7"/>
      <c r="E6" s="7"/>
      <c r="F6" s="7"/>
      <c r="G6" s="7"/>
      <c r="H6" s="7"/>
      <c r="I6" s="7"/>
      <c r="J6" s="7"/>
    </row>
    <row r="7" customFormat="false" ht="27.75" hidden="false" customHeight="true" outlineLevel="0" collapsed="false">
      <c r="A7" s="4" t="s">
        <v>177</v>
      </c>
      <c r="B7" s="18" t="n">
        <f aca="false">Assumptions!B38*Assumptions!B41</f>
        <v>18750</v>
      </c>
      <c r="C7" s="18" t="n">
        <f aca="false">Assumptions!B39*Assumptions!B42</f>
        <v>80000</v>
      </c>
      <c r="D7" s="19" t="s">
        <v>178</v>
      </c>
      <c r="E7" s="19" t="s">
        <v>178</v>
      </c>
      <c r="F7" s="18" t="n">
        <f aca="false">Assumptions!B38*Assumptions!B41</f>
        <v>18750</v>
      </c>
      <c r="G7" s="18" t="n">
        <f aca="false">Assumptions!B39*Assumptions!B42</f>
        <v>80000</v>
      </c>
      <c r="H7" s="19" t="s">
        <v>178</v>
      </c>
      <c r="I7" s="19" t="s">
        <v>178</v>
      </c>
      <c r="J7" s="10" t="s">
        <v>179</v>
      </c>
    </row>
    <row r="8" customFormat="false" ht="27.75" hidden="false" customHeight="true" outlineLevel="0" collapsed="false">
      <c r="A8" s="4" t="s">
        <v>180</v>
      </c>
      <c r="B8" s="19" t="s">
        <v>178</v>
      </c>
      <c r="C8" s="19" t="s">
        <v>178</v>
      </c>
      <c r="D8" s="20" t="n">
        <v>0</v>
      </c>
      <c r="E8" s="20" t="n">
        <v>0</v>
      </c>
      <c r="F8" s="20" t="n">
        <v>0</v>
      </c>
      <c r="G8" s="20" t="n">
        <v>0</v>
      </c>
      <c r="H8" s="19" t="s">
        <v>178</v>
      </c>
      <c r="I8" s="19" t="s">
        <v>178</v>
      </c>
      <c r="J8" s="10" t="s">
        <v>181</v>
      </c>
    </row>
    <row r="9" customFormat="false" ht="27.75" hidden="false" customHeight="true" outlineLevel="0" collapsed="false">
      <c r="A9" s="4" t="s">
        <v>182</v>
      </c>
      <c r="B9" s="18" t="n">
        <f aca="false">(Assumptions!B38+'Growth-Readiness Increment'!B11)*Assumptions!B41</f>
        <v>24625</v>
      </c>
      <c r="C9" s="18" t="n">
        <f aca="false">(Assumptions!B39+'Growth-Readiness Increment'!C11)*Assumptions!B42</f>
        <v>98400</v>
      </c>
      <c r="D9" s="19" t="s">
        <v>178</v>
      </c>
      <c r="E9" s="19" t="s">
        <v>178</v>
      </c>
      <c r="F9" s="19" t="s">
        <v>178</v>
      </c>
      <c r="G9" s="19" t="s">
        <v>178</v>
      </c>
      <c r="H9" s="18" t="n">
        <f aca="false">(Assumptions!B38+'Growth-Readiness Increment'!B11)*Assumptions!B41</f>
        <v>24625</v>
      </c>
      <c r="I9" s="18" t="n">
        <f aca="false">(Assumptions!B39+'Growth-Readiness Increment'!C11)*Assumptions!B42</f>
        <v>98400</v>
      </c>
      <c r="J9" s="10" t="s">
        <v>183</v>
      </c>
    </row>
    <row r="10" customFormat="false" ht="27.75" hidden="false" customHeight="true" outlineLevel="0" collapsed="false">
      <c r="A10" s="4" t="s">
        <v>184</v>
      </c>
      <c r="B10" s="19" t="s">
        <v>178</v>
      </c>
      <c r="C10" s="19" t="s">
        <v>178</v>
      </c>
      <c r="D10" s="20" t="n">
        <v>0</v>
      </c>
      <c r="E10" s="20" t="n">
        <v>0</v>
      </c>
      <c r="F10" s="19" t="s">
        <v>178</v>
      </c>
      <c r="G10" s="19" t="s">
        <v>178</v>
      </c>
      <c r="H10" s="20" t="n">
        <v>0</v>
      </c>
      <c r="I10" s="20" t="n">
        <v>0</v>
      </c>
      <c r="J10" s="10" t="s">
        <v>185</v>
      </c>
    </row>
    <row r="12" customFormat="false" ht="15" hidden="false" customHeight="false" outlineLevel="0" collapsed="false">
      <c r="A12" s="6" t="s">
        <v>186</v>
      </c>
      <c r="B12" s="7"/>
      <c r="C12" s="7"/>
      <c r="D12" s="7"/>
      <c r="E12" s="7"/>
      <c r="F12" s="7"/>
      <c r="G12" s="7"/>
      <c r="H12" s="7"/>
      <c r="I12" s="7"/>
      <c r="J12" s="7"/>
    </row>
    <row r="13" customFormat="false" ht="27.75" hidden="false" customHeight="true" outlineLevel="0" collapsed="false">
      <c r="A13" s="4" t="s">
        <v>187</v>
      </c>
      <c r="B13" s="18" t="n">
        <f aca="false">Assumptions!B40*Assumptions!B41</f>
        <v>7500</v>
      </c>
      <c r="C13" s="18" t="n">
        <f aca="false">Assumptions!B40*Assumptions!B42</f>
        <v>12000</v>
      </c>
      <c r="D13" s="18" t="n">
        <f aca="false">Assumptions!B40*Assumptions!B41</f>
        <v>7500</v>
      </c>
      <c r="E13" s="18" t="n">
        <f aca="false">Assumptions!B40*Assumptions!B42</f>
        <v>12000</v>
      </c>
      <c r="F13" s="18" t="n">
        <f aca="false">Assumptions!B40*Assumptions!B41</f>
        <v>7500</v>
      </c>
      <c r="G13" s="18" t="n">
        <f aca="false">Assumptions!B40*Assumptions!B42</f>
        <v>12000</v>
      </c>
      <c r="H13" s="18" t="n">
        <f aca="false">Assumptions!B40*Assumptions!B41</f>
        <v>7500</v>
      </c>
      <c r="I13" s="18" t="n">
        <f aca="false">Assumptions!B40*Assumptions!B42</f>
        <v>12000</v>
      </c>
      <c r="J13" s="10" t="s">
        <v>188</v>
      </c>
    </row>
    <row r="14" customFormat="false" ht="27.75" hidden="false" customHeight="true" outlineLevel="0" collapsed="false">
      <c r="A14" s="4" t="s">
        <v>189</v>
      </c>
      <c r="B14" s="18" t="n">
        <f aca="false">Assumptions!B33*Assumptions!B34</f>
        <v>2500</v>
      </c>
      <c r="C14" s="18" t="n">
        <f aca="false">Assumptions!B33*Assumptions!B35</f>
        <v>17500</v>
      </c>
      <c r="D14" s="18" t="n">
        <f aca="false">Assumptions!B33*Assumptions!B34</f>
        <v>2500</v>
      </c>
      <c r="E14" s="18" t="n">
        <f aca="false">Assumptions!B33*Assumptions!B35</f>
        <v>17500</v>
      </c>
      <c r="F14" s="18" t="n">
        <f aca="false">Assumptions!B33*Assumptions!B34</f>
        <v>2500</v>
      </c>
      <c r="G14" s="18" t="n">
        <f aca="false">Assumptions!B33*Assumptions!B35</f>
        <v>17500</v>
      </c>
      <c r="H14" s="18" t="n">
        <f aca="false">Assumptions!B33*Assumptions!B34</f>
        <v>2500</v>
      </c>
      <c r="I14" s="18" t="n">
        <f aca="false">Assumptions!B33*Assumptions!B35</f>
        <v>17500</v>
      </c>
      <c r="J14" s="10" t="s">
        <v>190</v>
      </c>
    </row>
    <row r="16" customFormat="false" ht="15" hidden="false" customHeight="false" outlineLevel="0" collapsed="false">
      <c r="A16" s="6" t="s">
        <v>191</v>
      </c>
      <c r="B16" s="7"/>
      <c r="C16" s="7"/>
      <c r="D16" s="7"/>
      <c r="E16" s="7"/>
      <c r="F16" s="7"/>
      <c r="G16" s="7"/>
      <c r="H16" s="7"/>
      <c r="I16" s="7"/>
      <c r="J16" s="7"/>
    </row>
    <row r="17" customFormat="false" ht="27.75" hidden="false" customHeight="true" outlineLevel="0" collapsed="false">
      <c r="A17" s="4" t="s">
        <v>192</v>
      </c>
      <c r="B17" s="18" t="n">
        <f aca="false">Assumptions!B45*12</f>
        <v>1200</v>
      </c>
      <c r="C17" s="18" t="n">
        <f aca="false">Assumptions!B46*12</f>
        <v>6000</v>
      </c>
      <c r="D17" s="18" t="n">
        <f aca="false">Assumptions!B45*12</f>
        <v>1200</v>
      </c>
      <c r="E17" s="18" t="n">
        <f aca="false">Assumptions!B46*12</f>
        <v>6000</v>
      </c>
      <c r="F17" s="18" t="n">
        <f aca="false">Assumptions!B45*12</f>
        <v>1200</v>
      </c>
      <c r="G17" s="18" t="n">
        <f aca="false">Assumptions!B46*12</f>
        <v>6000</v>
      </c>
      <c r="H17" s="18" t="n">
        <f aca="false">Assumptions!B45*12</f>
        <v>1200</v>
      </c>
      <c r="I17" s="18" t="n">
        <f aca="false">Assumptions!B46*12</f>
        <v>6000</v>
      </c>
      <c r="J17" s="10" t="s">
        <v>193</v>
      </c>
    </row>
    <row r="18" customFormat="false" ht="27.75" hidden="false" customHeight="true" outlineLevel="0" collapsed="false">
      <c r="A18" s="4" t="s">
        <v>194</v>
      </c>
      <c r="B18" s="18" t="n">
        <f aca="false">Assumptions!B82</f>
        <v>6909.84</v>
      </c>
      <c r="C18" s="18" t="n">
        <f aca="false">Assumptions!B83</f>
        <v>18331.2</v>
      </c>
      <c r="D18" s="18" t="n">
        <f aca="false">Assumptions!B82</f>
        <v>6909.84</v>
      </c>
      <c r="E18" s="18" t="n">
        <f aca="false">Assumptions!B83</f>
        <v>18331.2</v>
      </c>
      <c r="F18" s="18" t="n">
        <f aca="false">Assumptions!B82</f>
        <v>6909.84</v>
      </c>
      <c r="G18" s="18" t="n">
        <f aca="false">Assumptions!B83</f>
        <v>18331.2</v>
      </c>
      <c r="H18" s="18" t="n">
        <f aca="false">Assumptions!B82</f>
        <v>6909.84</v>
      </c>
      <c r="I18" s="18" t="n">
        <f aca="false">Assumptions!B83</f>
        <v>18331.2</v>
      </c>
      <c r="J18" s="10" t="s">
        <v>195</v>
      </c>
    </row>
    <row r="20" customFormat="false" ht="15" hidden="false" customHeight="false" outlineLevel="0" collapsed="false">
      <c r="A20" s="6" t="s">
        <v>196</v>
      </c>
      <c r="B20" s="7"/>
      <c r="C20" s="7"/>
      <c r="D20" s="7"/>
      <c r="E20" s="7"/>
      <c r="F20" s="7"/>
      <c r="G20" s="7"/>
      <c r="H20" s="7"/>
      <c r="I20" s="7"/>
      <c r="J20" s="7"/>
    </row>
    <row r="21" customFormat="false" ht="27.75" hidden="false" customHeight="true" outlineLevel="0" collapsed="false">
      <c r="A21" s="4" t="s">
        <v>197</v>
      </c>
      <c r="B21" s="19" t="s">
        <v>178</v>
      </c>
      <c r="C21" s="19" t="s">
        <v>178</v>
      </c>
      <c r="D21" s="18" t="n">
        <f aca="false">(Assumptions!B49+Assumptions!B51+Assumptions!B53)*12</f>
        <v>480</v>
      </c>
      <c r="E21" s="18" t="n">
        <f aca="false">(Assumptions!B50+Assumptions!B52+Assumptions!B54)*12</f>
        <v>2304</v>
      </c>
      <c r="F21" s="18" t="n">
        <f aca="false">(Assumptions!B49+Assumptions!B51+Assumptions!B53)*12</f>
        <v>480</v>
      </c>
      <c r="G21" s="18" t="n">
        <f aca="false">(Assumptions!B50+Assumptions!B52+Assumptions!B54)*12</f>
        <v>2304</v>
      </c>
      <c r="H21" s="18" t="n">
        <f aca="false">(Assumptions!B49+Assumptions!B51+Assumptions!B53)*12</f>
        <v>480</v>
      </c>
      <c r="I21" s="18" t="n">
        <f aca="false">(Assumptions!B50+Assumptions!B52+Assumptions!B54)*12</f>
        <v>2304</v>
      </c>
      <c r="J21" s="10" t="s">
        <v>198</v>
      </c>
    </row>
    <row r="22" customFormat="false" ht="27.75" hidden="false" customHeight="true" outlineLevel="0" collapsed="false">
      <c r="A22" s="4" t="s">
        <v>199</v>
      </c>
      <c r="B22" s="19" t="s">
        <v>178</v>
      </c>
      <c r="C22" s="19" t="s">
        <v>178</v>
      </c>
      <c r="D22" s="18" t="n">
        <f aca="false">Assumptions!B55*Assumptions!B41</f>
        <v>1250</v>
      </c>
      <c r="E22" s="18" t="n">
        <f aca="false">Assumptions!B56*Assumptions!B42</f>
        <v>4000</v>
      </c>
      <c r="F22" s="18" t="n">
        <f aca="false">Assumptions!B55*Assumptions!B41</f>
        <v>1250</v>
      </c>
      <c r="G22" s="18" t="n">
        <f aca="false">Assumptions!B56*Assumptions!B42</f>
        <v>4000</v>
      </c>
      <c r="H22" s="18" t="n">
        <f aca="false">Assumptions!B55*Assumptions!B41</f>
        <v>1250</v>
      </c>
      <c r="I22" s="18" t="n">
        <f aca="false">Assumptions!B56*Assumptions!B42</f>
        <v>4000</v>
      </c>
      <c r="J22" s="10" t="s">
        <v>200</v>
      </c>
    </row>
    <row r="24" customFormat="false" ht="15" hidden="false" customHeight="false" outlineLevel="0" collapsed="false">
      <c r="A24" s="6" t="s">
        <v>201</v>
      </c>
      <c r="B24" s="7"/>
      <c r="C24" s="7"/>
      <c r="D24" s="7"/>
      <c r="E24" s="7"/>
      <c r="F24" s="7"/>
      <c r="G24" s="7"/>
      <c r="H24" s="7"/>
      <c r="I24" s="7"/>
      <c r="J24" s="7"/>
    </row>
    <row r="25" customFormat="false" ht="24" hidden="false" customHeight="true" outlineLevel="0" collapsed="false">
      <c r="A25" s="21" t="s">
        <v>202</v>
      </c>
      <c r="B25" s="22" t="n">
        <f aca="false">B7+B13+B14+B17+B18</f>
        <v>36859.84</v>
      </c>
      <c r="C25" s="22" t="n">
        <f aca="false">C7+C13+C14+C17+C18</f>
        <v>133831.2</v>
      </c>
      <c r="D25" s="19" t="s">
        <v>178</v>
      </c>
      <c r="E25" s="19" t="s">
        <v>178</v>
      </c>
      <c r="F25" s="22" t="n">
        <f aca="false">F7+F13+F14+F17+F18</f>
        <v>36859.84</v>
      </c>
      <c r="G25" s="22" t="n">
        <f aca="false">G7+G13+G14+G17+G18</f>
        <v>133831.2</v>
      </c>
      <c r="H25" s="19" t="s">
        <v>178</v>
      </c>
      <c r="I25" s="19" t="s">
        <v>178</v>
      </c>
      <c r="J25" s="23" t="s">
        <v>203</v>
      </c>
    </row>
    <row r="26" customFormat="false" ht="24" hidden="false" customHeight="true" outlineLevel="0" collapsed="false">
      <c r="A26" s="21" t="s">
        <v>204</v>
      </c>
      <c r="B26" s="19" t="s">
        <v>178</v>
      </c>
      <c r="C26" s="19" t="s">
        <v>178</v>
      </c>
      <c r="D26" s="22" t="n">
        <f aca="false">D8+D13+D14+D17+D18+D21+D22</f>
        <v>19839.84</v>
      </c>
      <c r="E26" s="22" t="n">
        <f aca="false">E8+E13+E14+E17+E18+E21+E22</f>
        <v>60135.2</v>
      </c>
      <c r="F26" s="22" t="n">
        <f aca="false">F8+F13+F14+F17+F18+F21+F22</f>
        <v>19839.84</v>
      </c>
      <c r="G26" s="22" t="n">
        <f aca="false">G8+G13+G14+G17+G18+G21+G22</f>
        <v>60135.2</v>
      </c>
      <c r="H26" s="19" t="s">
        <v>178</v>
      </c>
      <c r="I26" s="19" t="s">
        <v>178</v>
      </c>
      <c r="J26" s="23" t="s">
        <v>205</v>
      </c>
    </row>
    <row r="27" customFormat="false" ht="24" hidden="false" customHeight="true" outlineLevel="0" collapsed="false">
      <c r="A27" s="21" t="s">
        <v>206</v>
      </c>
      <c r="B27" s="22" t="n">
        <f aca="false">B9+B13+B14+B17+B18</f>
        <v>42734.84</v>
      </c>
      <c r="C27" s="22" t="n">
        <f aca="false">C9+C13+C14+C17+C18</f>
        <v>152231.2</v>
      </c>
      <c r="D27" s="19" t="s">
        <v>178</v>
      </c>
      <c r="E27" s="19" t="s">
        <v>178</v>
      </c>
      <c r="F27" s="19" t="s">
        <v>178</v>
      </c>
      <c r="G27" s="19" t="s">
        <v>178</v>
      </c>
      <c r="H27" s="22" t="n">
        <f aca="false">H9+H13+H14+H17+H18</f>
        <v>42734.84</v>
      </c>
      <c r="I27" s="22" t="n">
        <f aca="false">I9+I13+I14+I17+I18</f>
        <v>152231.2</v>
      </c>
      <c r="J27" s="23" t="s">
        <v>207</v>
      </c>
    </row>
    <row r="28" customFormat="false" ht="24" hidden="false" customHeight="true" outlineLevel="0" collapsed="false">
      <c r="A28" s="21" t="s">
        <v>208</v>
      </c>
      <c r="B28" s="19" t="s">
        <v>178</v>
      </c>
      <c r="C28" s="19" t="s">
        <v>178</v>
      </c>
      <c r="D28" s="22" t="n">
        <f aca="false">D10+D13+D14+D17+D18+D21+D22</f>
        <v>19839.84</v>
      </c>
      <c r="E28" s="22" t="n">
        <f aca="false">E10+E13+E14+E17+E18+E21+E22</f>
        <v>60135.2</v>
      </c>
      <c r="F28" s="19" t="s">
        <v>178</v>
      </c>
      <c r="G28" s="19" t="s">
        <v>178</v>
      </c>
      <c r="H28" s="22" t="n">
        <f aca="false">H10+H13+H14+H17+H18+H21+H22</f>
        <v>19839.84</v>
      </c>
      <c r="I28" s="22" t="n">
        <f aca="false">I10+I13+I14+I17+I18+I21+I22</f>
        <v>60135.2</v>
      </c>
      <c r="J28" s="23" t="s">
        <v>209</v>
      </c>
    </row>
    <row r="30" customFormat="false" ht="15" hidden="false" customHeight="false" outlineLevel="0" collapsed="false">
      <c r="A30" s="6" t="s">
        <v>210</v>
      </c>
      <c r="B30" s="7"/>
      <c r="C30" s="7"/>
      <c r="D30" s="7"/>
      <c r="E30" s="7"/>
      <c r="F30" s="7"/>
      <c r="G30" s="7"/>
      <c r="H30" s="7"/>
      <c r="I30" s="7"/>
      <c r="J30" s="7"/>
    </row>
    <row r="31" customFormat="false" ht="25.5" hidden="false" customHeight="true" outlineLevel="0" collapsed="false">
      <c r="A31" s="4" t="s">
        <v>211</v>
      </c>
      <c r="B31" s="24" t="str">
        <f aca="false">Assumptions!B59</f>
        <v>1.5–6</v>
      </c>
      <c r="C31" s="24" t="str">
        <f aca="false">Assumptions!B59</f>
        <v>1.5–6</v>
      </c>
      <c r="D31" s="19" t="s">
        <v>178</v>
      </c>
      <c r="E31" s="19" t="s">
        <v>178</v>
      </c>
      <c r="F31" s="24" t="str">
        <f aca="false">Assumptions!B59</f>
        <v>1.5–6</v>
      </c>
      <c r="G31" s="24" t="str">
        <f aca="false">Assumptions!B59</f>
        <v>1.5–6</v>
      </c>
      <c r="H31" s="19" t="s">
        <v>178</v>
      </c>
      <c r="I31" s="19" t="s">
        <v>178</v>
      </c>
      <c r="J31" s="23" t="s">
        <v>212</v>
      </c>
    </row>
    <row r="32" customFormat="false" ht="25.5" hidden="false" customHeight="true" outlineLevel="0" collapsed="false">
      <c r="A32" s="4" t="s">
        <v>213</v>
      </c>
      <c r="B32" s="19" t="s">
        <v>178</v>
      </c>
      <c r="C32" s="19" t="s">
        <v>178</v>
      </c>
      <c r="D32" s="24" t="str">
        <f aca="false">Assumptions!B61</f>
        <v>3–12</v>
      </c>
      <c r="E32" s="24" t="str">
        <f aca="false">Assumptions!B61</f>
        <v>3–12</v>
      </c>
      <c r="F32" s="24" t="str">
        <f aca="false">Assumptions!B61</f>
        <v>3–12</v>
      </c>
      <c r="G32" s="24" t="str">
        <f aca="false">Assumptions!B61</f>
        <v>3–12</v>
      </c>
      <c r="H32" s="19" t="s">
        <v>178</v>
      </c>
      <c r="I32" s="19" t="s">
        <v>178</v>
      </c>
      <c r="J32" s="23" t="s">
        <v>214</v>
      </c>
    </row>
    <row r="33" customFormat="false" ht="25.5" hidden="false" customHeight="true" outlineLevel="0" collapsed="false">
      <c r="A33" s="4" t="s">
        <v>215</v>
      </c>
      <c r="B33" s="24" t="str">
        <f aca="false">Assumptions!B60</f>
        <v>2–7.5</v>
      </c>
      <c r="C33" s="24" t="str">
        <f aca="false">Assumptions!B60</f>
        <v>2–7.5</v>
      </c>
      <c r="D33" s="19" t="s">
        <v>178</v>
      </c>
      <c r="E33" s="19" t="s">
        <v>178</v>
      </c>
      <c r="F33" s="19" t="s">
        <v>178</v>
      </c>
      <c r="G33" s="19" t="s">
        <v>178</v>
      </c>
      <c r="H33" s="24" t="str">
        <f aca="false">Assumptions!B60</f>
        <v>2–7.5</v>
      </c>
      <c r="I33" s="24" t="str">
        <f aca="false">Assumptions!B60</f>
        <v>2–7.5</v>
      </c>
      <c r="J33" s="23" t="s">
        <v>216</v>
      </c>
    </row>
    <row r="34" customFormat="false" ht="25.5" hidden="false" customHeight="true" outlineLevel="0" collapsed="false">
      <c r="A34" s="4" t="s">
        <v>217</v>
      </c>
      <c r="B34" s="19" t="s">
        <v>178</v>
      </c>
      <c r="C34" s="19" t="s">
        <v>178</v>
      </c>
      <c r="D34" s="24" t="str">
        <f aca="false">Assumptions!B62</f>
        <v>6–18</v>
      </c>
      <c r="E34" s="24" t="str">
        <f aca="false">Assumptions!B62</f>
        <v>6–18</v>
      </c>
      <c r="F34" s="19" t="s">
        <v>178</v>
      </c>
      <c r="G34" s="19" t="s">
        <v>178</v>
      </c>
      <c r="H34" s="24" t="str">
        <f aca="false">Assumptions!B62</f>
        <v>6–18</v>
      </c>
      <c r="I34" s="24" t="str">
        <f aca="false">Assumptions!B62</f>
        <v>6–18</v>
      </c>
      <c r="J34" s="23" t="s">
        <v>218</v>
      </c>
    </row>
  </sheetData>
  <mergeCells count="6">
    <mergeCell ref="A4:A5"/>
    <mergeCell ref="B4:C4"/>
    <mergeCell ref="D4:E4"/>
    <mergeCell ref="F4:G4"/>
    <mergeCell ref="H4:I4"/>
    <mergeCell ref="J4:J5"/>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2026-07-08T07:45:20Z</dcterms:created>
  <dc:creator>openpyxl</dc:creator>
  <dc:description/>
  <dc:language>en-US</dc:language>
  <cp:lastModifiedBy/>
  <dcterms:modified xsi:type="dcterms:W3CDTF">2026-07-08T07:45:20Z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